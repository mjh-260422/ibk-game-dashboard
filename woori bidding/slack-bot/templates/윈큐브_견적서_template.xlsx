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hye\Desktop\업무\입찰\모바일쿠폰\우리카드 입찰\견적서\"/>
    </mc:Choice>
  </mc:AlternateContent>
  <xr:revisionPtr revIDLastSave="0" documentId="8_{0D93C201-C7DE-4F33-B33D-EC46B4AC00E6}" xr6:coauthVersionLast="47" xr6:coauthVersionMax="47" xr10:uidLastSave="{00000000-0000-0000-0000-000000000000}"/>
  <bookViews>
    <workbookView xWindow="0" yWindow="100" windowWidth="19380" windowHeight="11180" xr2:uid="{C645ABA5-04B7-4F91-A1FD-804C7B6081FC}"/>
  </bookViews>
  <sheets>
    <sheet name="우리카드 견적서" sheetId="41" r:id="rId1"/>
  </sheets>
  <definedNames>
    <definedName name="_xlnm._FilterDatabase" localSheetId="0" hidden="1">'우리카드 견적서'!$B$15:$K$17</definedName>
    <definedName name="_xlnm.Print_Area" localSheetId="0">'우리카드 견적서'!$A$1:$L$23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" i="41" l="1"/>
  <c r="K17" i="41" s="1"/>
  <c r="G18" i="41"/>
  <c r="J16" i="41"/>
  <c r="K16" i="41" s="1"/>
  <c r="J18" i="41" l="1"/>
  <c r="C10" i="41"/>
</calcChain>
</file>

<file path=xl/sharedStrings.xml><?xml version="1.0" encoding="utf-8"?>
<sst xmlns="http://schemas.openxmlformats.org/spreadsheetml/2006/main" count="30" uniqueCount="30">
  <si>
    <t>귀중</t>
    <phoneticPr fontId="2" type="noConversion"/>
  </si>
  <si>
    <t>공급자</t>
    <phoneticPr fontId="2" type="noConversion"/>
  </si>
  <si>
    <t>등 록 번 호</t>
    <phoneticPr fontId="2" type="noConversion"/>
  </si>
  <si>
    <t>법  인  명</t>
    <phoneticPr fontId="2" type="noConversion"/>
  </si>
  <si>
    <t>대  표  자</t>
    <phoneticPr fontId="2" type="noConversion"/>
  </si>
  <si>
    <t>담  당  자</t>
    <phoneticPr fontId="2" type="noConversion"/>
  </si>
  <si>
    <t>주        소</t>
    <phoneticPr fontId="2" type="noConversion"/>
  </si>
  <si>
    <t>㈜ 윈큐브마케팅</t>
    <phoneticPr fontId="2" type="noConversion"/>
  </si>
  <si>
    <t>견적일자 :</t>
    <phoneticPr fontId="2" type="noConversion"/>
  </si>
  <si>
    <t>견  적  서</t>
    <phoneticPr fontId="2" type="noConversion"/>
  </si>
  <si>
    <t>NO</t>
    <phoneticPr fontId="2" type="noConversion"/>
  </si>
  <si>
    <t>구분</t>
    <phoneticPr fontId="2" type="noConversion"/>
  </si>
  <si>
    <t>상품명</t>
    <phoneticPr fontId="2" type="noConversion"/>
  </si>
  <si>
    <t>수량</t>
    <phoneticPr fontId="2" type="noConversion"/>
  </si>
  <si>
    <t>할인율</t>
    <phoneticPr fontId="2" type="noConversion"/>
  </si>
  <si>
    <t>공급단가</t>
    <phoneticPr fontId="2" type="noConversion"/>
  </si>
  <si>
    <t>정상가</t>
    <phoneticPr fontId="2" type="noConversion"/>
  </si>
  <si>
    <t>공급금액</t>
    <phoneticPr fontId="2" type="noConversion"/>
  </si>
  <si>
    <t>합계</t>
    <phoneticPr fontId="2" type="noConversion"/>
  </si>
  <si>
    <t>214 - 88 - 78503</t>
    <phoneticPr fontId="2" type="noConversion"/>
  </si>
  <si>
    <t>김  성  필   (인)</t>
    <phoneticPr fontId="2" type="noConversion"/>
  </si>
  <si>
    <t>서울시 서초구 방배로42길 61, 2층, 4층(방배동, 빌딩7719)</t>
    <phoneticPr fontId="2" type="noConversion"/>
  </si>
  <si>
    <t xml:space="preserve">      우리카드      </t>
    <phoneticPr fontId="2" type="noConversion"/>
  </si>
  <si>
    <t>`</t>
    <phoneticPr fontId="2" type="noConversion"/>
  </si>
  <si>
    <t>명지혜 / mjh@wincubemkt.com</t>
    <phoneticPr fontId="2" type="noConversion"/>
  </si>
  <si>
    <t>010-6587-3655</t>
    <phoneticPr fontId="2" type="noConversion"/>
  </si>
  <si>
    <t>[스타벅스] 아이스 아메리카노 Tall</t>
    <phoneticPr fontId="2" type="noConversion"/>
  </si>
  <si>
    <t>[메가MGC커피] ICE 아메리카노</t>
    <phoneticPr fontId="2" type="noConversion"/>
  </si>
  <si>
    <t>메가MGC커피</t>
    <phoneticPr fontId="2" type="noConversion"/>
  </si>
  <si>
    <t>스타벅스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</si>
</sst>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&quot;₩&quot;#,##0_);[Red]\(&quot;₩&quot;#,##0\)"/>
    <numFmt numFmtId="177" formatCode="_-* #,##0_-;\-* #,##0_-;_-* &quot;-&quot;?_-;_-@_-"/>
    <numFmt numFmtId="178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1" fontId="0" fillId="0" borderId="0" xfId="0" applyNumberFormat="1">
      <alignment vertical="center"/>
    </xf>
    <xf numFmtId="41" fontId="0" fillId="3" borderId="1" xfId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0" borderId="0" xfId="1" applyFont="1">
      <alignment vertical="center"/>
    </xf>
    <xf numFmtId="41" fontId="6" fillId="0" borderId="1" xfId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43" fontId="0" fillId="0" borderId="0" xfId="0" applyNumberFormat="1">
      <alignment vertical="center"/>
    </xf>
    <xf numFmtId="41" fontId="6" fillId="0" borderId="0" xfId="1" applyFont="1" applyFill="1" applyBorder="1" applyAlignment="1">
      <alignment horizontal="center" vertical="center"/>
    </xf>
    <xf numFmtId="178" fontId="0" fillId="0" borderId="0" xfId="2" applyNumberFormat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178" fontId="6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1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869577</xdr:colOff>
      <xdr:row>6</xdr:row>
      <xdr:rowOff>68971</xdr:rowOff>
    </xdr:from>
    <xdr:to>
      <xdr:col>10</xdr:col>
      <xdr:colOff>491321</xdr:colOff>
      <xdr:row>8</xdr:row>
      <xdr:rowOff>186513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8987F7-96D2-408C-B7D0-4F2B20541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5047" y="1543441"/>
          <a:ext cx="563767" cy="544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7C4E-E373-4DF3-AF2A-4AB86B48ED63}">
  <sheetPr>
    <pageSetUpPr fitToPage="1"/>
  </sheetPr>
  <dimension ref="A3:N32"/>
  <sheetViews>
    <sheetView showGridLines="0" tabSelected="1" view="pageBreakPreview" zoomScale="85" zoomScaleNormal="100" zoomScaleSheetLayoutView="85" workbookViewId="0">
      <selection activeCell="I18" sqref="I18"/>
    </sheetView>
  </sheetViews>
  <sheetFormatPr defaultRowHeight="17" x14ac:dyDescent="0.45"/>
  <cols>
    <col min="1" max="1" width="3.75" customWidth="1"/>
    <col min="2" max="2" width="10" bestFit="1" customWidth="1"/>
    <col min="3" max="3" width="17.58203125" customWidth="1"/>
    <col min="4" max="4" width="13" customWidth="1"/>
    <col min="5" max="5" width="18.33203125" customWidth="1"/>
    <col min="6" max="6" width="20.58203125" customWidth="1"/>
    <col min="7" max="7" width="13.58203125" bestFit="1" customWidth="1"/>
    <col min="8" max="8" width="12.25" customWidth="1"/>
    <col min="9" max="9" width="17.75" customWidth="1"/>
    <col min="10" max="10" width="12.5" customWidth="1"/>
    <col min="11" max="11" width="24.58203125" customWidth="1"/>
    <col min="12" max="12" width="4.25" customWidth="1"/>
    <col min="13" max="13" width="15.75" bestFit="1" customWidth="1"/>
  </cols>
  <sheetData>
    <row r="3" spans="1:14" ht="30" x14ac:dyDescent="0.45">
      <c r="A3" s="28" t="s">
        <v>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6" spans="1:14" x14ac:dyDescent="0.45">
      <c r="A6" s="29" t="s">
        <v>22</v>
      </c>
      <c r="B6" s="30"/>
      <c r="C6" s="30"/>
      <c r="D6" s="30"/>
      <c r="E6" s="13" t="s">
        <v>0</v>
      </c>
      <c r="G6" s="31" t="s">
        <v>1</v>
      </c>
      <c r="H6" s="31"/>
      <c r="I6" s="31"/>
      <c r="J6" s="31"/>
      <c r="K6" s="31"/>
    </row>
    <row r="7" spans="1:14" x14ac:dyDescent="0.45">
      <c r="G7" s="12" t="s">
        <v>3</v>
      </c>
      <c r="H7" s="25" t="s">
        <v>7</v>
      </c>
      <c r="I7" s="25"/>
      <c r="J7" s="25"/>
      <c r="K7" s="25"/>
    </row>
    <row r="8" spans="1:14" x14ac:dyDescent="0.45">
      <c r="B8" s="32"/>
      <c r="C8" s="32"/>
      <c r="D8" s="32"/>
      <c r="G8" s="12" t="s">
        <v>4</v>
      </c>
      <c r="H8" s="25" t="s">
        <v>20</v>
      </c>
      <c r="I8" s="25"/>
      <c r="J8" s="25"/>
      <c r="K8" s="25"/>
    </row>
    <row r="9" spans="1:14" x14ac:dyDescent="0.45">
      <c r="G9" s="12" t="s">
        <v>2</v>
      </c>
      <c r="H9" s="25" t="s">
        <v>19</v>
      </c>
      <c r="I9" s="25"/>
      <c r="J9" s="25"/>
      <c r="K9" s="25"/>
    </row>
    <row r="10" spans="1:14" x14ac:dyDescent="0.45">
      <c r="B10" t="s">
        <v>8</v>
      </c>
      <c r="C10" s="26">
        <f ca="1">TODAY()</f>
        <v>46170</v>
      </c>
      <c r="D10" s="26"/>
      <c r="G10" s="12" t="s">
        <v>6</v>
      </c>
      <c r="H10" s="25" t="s">
        <v>21</v>
      </c>
      <c r="I10" s="25"/>
      <c r="J10" s="25"/>
      <c r="K10" s="25"/>
    </row>
    <row r="11" spans="1:14" x14ac:dyDescent="0.45">
      <c r="C11" s="27"/>
      <c r="D11" s="27"/>
      <c r="G11" s="25" t="s">
        <v>5</v>
      </c>
      <c r="H11" s="25" t="s">
        <v>24</v>
      </c>
      <c r="I11" s="25"/>
      <c r="J11" s="25"/>
      <c r="K11" s="25"/>
    </row>
    <row r="12" spans="1:14" ht="17.149999999999999" customHeight="1" x14ac:dyDescent="0.45">
      <c r="C12" s="27"/>
      <c r="D12" s="27"/>
      <c r="G12" s="25"/>
      <c r="H12" s="25" t="s">
        <v>25</v>
      </c>
      <c r="I12" s="25"/>
      <c r="J12" s="25"/>
      <c r="K12" s="25"/>
    </row>
    <row r="14" spans="1:14" x14ac:dyDescent="0.45">
      <c r="N14" s="4"/>
    </row>
    <row r="15" spans="1:14" x14ac:dyDescent="0.45">
      <c r="B15" s="11" t="s">
        <v>10</v>
      </c>
      <c r="C15" s="11" t="s">
        <v>11</v>
      </c>
      <c r="D15" s="19" t="s">
        <v>12</v>
      </c>
      <c r="E15" s="19"/>
      <c r="F15" s="19"/>
      <c r="G15" s="11" t="s">
        <v>13</v>
      </c>
      <c r="H15" s="11" t="s">
        <v>16</v>
      </c>
      <c r="I15" s="11" t="s">
        <v>14</v>
      </c>
      <c r="J15" s="11" t="s">
        <v>15</v>
      </c>
      <c r="K15" s="11" t="s">
        <v>17</v>
      </c>
    </row>
    <row r="16" spans="1:14" x14ac:dyDescent="0.45">
      <c r="B16" s="14">
        <v>1</v>
      </c>
      <c r="C16" s="14" t="s">
        <v>29</v>
      </c>
      <c r="D16" s="22" t="s">
        <v>26</v>
      </c>
      <c r="E16" s="23"/>
      <c r="F16" s="24"/>
      <c r="G16" s="5">
        <v>1500</v>
      </c>
      <c r="H16" s="5">
        <v>4700</v>
      </c>
      <c r="I16" s="16">
        <v>0.18</v>
      </c>
      <c r="J16" s="15">
        <f t="shared" ref="J16" si="0">ROUND(H16-(H16*I16),0)</f>
        <v>3854</v>
      </c>
      <c r="K16" s="15">
        <f t="shared" ref="K16" si="1">J16*G16</f>
        <v>5781000</v>
      </c>
    </row>
    <row r="17" spans="2:11" x14ac:dyDescent="0.45">
      <c r="B17" s="14">
        <v>2</v>
      </c>
      <c r="C17" s="14" t="s">
        <v>28</v>
      </c>
      <c r="D17" s="22" t="s">
        <v>27</v>
      </c>
      <c r="E17" s="23"/>
      <c r="F17" s="24"/>
      <c r="G17" s="5">
        <v>7910</v>
      </c>
      <c r="H17" s="5">
        <v>2000</v>
      </c>
      <c r="I17" s="16">
        <v>0.2</v>
      </c>
      <c r="J17" s="15">
        <f t="shared" ref="J17" si="2">ROUND(H17-(H17*I17),0)</f>
        <v>1600</v>
      </c>
      <c r="K17" s="15">
        <f t="shared" ref="K17" si="3">J17*G17</f>
        <v>12656000</v>
      </c>
    </row>
    <row r="18" spans="2:11" ht="36.75" customHeight="1" x14ac:dyDescent="0.45">
      <c r="B18" s="20" t="s">
        <v>18</v>
      </c>
      <c r="C18" s="20"/>
      <c r="D18" s="20"/>
      <c r="E18" s="20"/>
      <c r="F18" s="20"/>
      <c r="G18" s="2">
        <f>SUM(G16:G17)</f>
        <v>9410</v>
      </c>
      <c r="H18" s="3"/>
      <c r="I18" s="3"/>
      <c r="J18" s="21">
        <f>SUM(K16:K17)</f>
        <v>18437000</v>
      </c>
      <c r="K18" s="21"/>
    </row>
    <row r="19" spans="2:11" x14ac:dyDescent="0.45">
      <c r="B19" s="17" t="s">
        <v>23</v>
      </c>
      <c r="C19" s="18"/>
      <c r="D19" s="18"/>
      <c r="E19" s="18"/>
      <c r="F19" s="18"/>
      <c r="G19" s="18"/>
      <c r="H19" s="18"/>
      <c r="I19" s="18"/>
      <c r="J19" s="18"/>
      <c r="K19" s="18"/>
    </row>
    <row r="20" spans="2:11" x14ac:dyDescent="0.45"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2:11" x14ac:dyDescent="0.45"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2:11" x14ac:dyDescent="0.45"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2:11" x14ac:dyDescent="0.45"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6" spans="2:11" x14ac:dyDescent="0.45">
      <c r="F26" s="4"/>
      <c r="G26" s="6"/>
      <c r="H26" s="10"/>
    </row>
    <row r="27" spans="2:11" x14ac:dyDescent="0.45">
      <c r="E27" s="1"/>
      <c r="G27" s="6"/>
      <c r="I27" s="4"/>
      <c r="J27" s="1"/>
      <c r="K27" s="4"/>
    </row>
    <row r="28" spans="2:11" x14ac:dyDescent="0.45">
      <c r="E28" s="4"/>
      <c r="F28" s="7"/>
      <c r="I28" s="1"/>
      <c r="J28" s="1"/>
      <c r="K28" s="4"/>
    </row>
    <row r="29" spans="2:11" x14ac:dyDescent="0.45">
      <c r="D29" s="4"/>
      <c r="F29" s="9"/>
      <c r="I29" s="7"/>
    </row>
    <row r="30" spans="2:11" x14ac:dyDescent="0.45">
      <c r="D30" s="8"/>
      <c r="F30" s="9"/>
      <c r="I30" s="7"/>
    </row>
    <row r="32" spans="2:11" x14ac:dyDescent="0.45">
      <c r="F32" s="10"/>
    </row>
  </sheetData>
  <mergeCells count="20">
    <mergeCell ref="A3:L3"/>
    <mergeCell ref="A6:D6"/>
    <mergeCell ref="G6:K6"/>
    <mergeCell ref="H7:K7"/>
    <mergeCell ref="B8:D8"/>
    <mergeCell ref="H8:K8"/>
    <mergeCell ref="H9:K9"/>
    <mergeCell ref="C10:D10"/>
    <mergeCell ref="H10:K10"/>
    <mergeCell ref="C11:D11"/>
    <mergeCell ref="G11:G12"/>
    <mergeCell ref="H11:K11"/>
    <mergeCell ref="C12:D12"/>
    <mergeCell ref="H12:K12"/>
    <mergeCell ref="B19:K23"/>
    <mergeCell ref="D15:F15"/>
    <mergeCell ref="B18:F18"/>
    <mergeCell ref="J18:K18"/>
    <mergeCell ref="D17:F17"/>
    <mergeCell ref="D16:F16"/>
  </mergeCells>
  <phoneticPr fontId="2" type="noConversion"/>
  <pageMargins left="0.7" right="0.7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우리카드 견적서</vt:lpstr>
      <vt:lpstr>'우리카드 견적서'!Print_Area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wincube</dc:creator>
  <cp:lastModifiedBy>전략영업1팀</cp:lastModifiedBy>
  <cp:lastPrinted>2026-05-28T02:26:57Z</cp:lastPrinted>
  <dcterms:created xsi:type="dcterms:W3CDTF">2020-04-22T00:32:49Z</dcterms:created>
  <dcterms:modified xsi:type="dcterms:W3CDTF">2026-05-28T02:42:50Z</dcterms:modified>
</cp:coreProperties>
</file>