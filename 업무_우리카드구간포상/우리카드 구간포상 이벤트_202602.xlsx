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ri\Desktop\소연\3. 기업영업기획부\2. 프로모션\13. 구간포상\"/>
    </mc:Choice>
  </mc:AlternateContent>
  <xr:revisionPtr revIDLastSave="0" documentId="13_ncr:1_{FEF27EE2-2458-479A-A25A-027B1A8A8A86}" xr6:coauthVersionLast="47" xr6:coauthVersionMax="47" xr10:uidLastSave="{00000000-0000-0000-0000-000000000000}"/>
  <bookViews>
    <workbookView xWindow="810" yWindow="645" windowWidth="27780" windowHeight="14910" firstSheet="1" activeTab="1" xr2:uid="{E1A98C7E-677B-4F71-BDCD-7D9BFAF37031}"/>
  </bookViews>
  <sheets>
    <sheet name="1월" sheetId="6" state="hidden" r:id="rId1"/>
    <sheet name="2월" sheetId="5" r:id="rId2"/>
    <sheet name="상품목록" sheetId="4" r:id="rId3"/>
  </sheets>
  <definedNames>
    <definedName name="_xlnm._FilterDatabase" localSheetId="0" hidden="1">'1월'!$B$4:$N$194</definedName>
    <definedName name="_xlnm._FilterDatabase" localSheetId="1" hidden="1">'2월'!$C$4:$S$313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M7" i="5" s="1"/>
  <c r="F8" i="5"/>
  <c r="F15" i="5"/>
  <c r="M15" i="5" s="1"/>
  <c r="F9" i="5"/>
  <c r="F10" i="5"/>
  <c r="F11" i="5"/>
  <c r="P11" i="5" s="1"/>
  <c r="F12" i="5"/>
  <c r="L12" i="5" s="1"/>
  <c r="F13" i="5"/>
  <c r="L13" i="5" s="1"/>
  <c r="F14" i="5"/>
  <c r="F16" i="5"/>
  <c r="R16" i="5" s="1"/>
  <c r="F17" i="5"/>
  <c r="R17" i="5" s="1"/>
  <c r="F18" i="5"/>
  <c r="F19" i="5"/>
  <c r="L19" i="5" s="1"/>
  <c r="F20" i="5"/>
  <c r="F38" i="5"/>
  <c r="F39" i="5"/>
  <c r="R39" i="5" s="1"/>
  <c r="F40" i="5"/>
  <c r="F41" i="5"/>
  <c r="F42" i="5"/>
  <c r="F43" i="5"/>
  <c r="N43" i="5" s="1"/>
  <c r="F44" i="5"/>
  <c r="F45" i="5"/>
  <c r="F46" i="5"/>
  <c r="P46" i="5" s="1"/>
  <c r="F47" i="5"/>
  <c r="F48" i="5"/>
  <c r="F49" i="5"/>
  <c r="M49" i="5" s="1"/>
  <c r="F50" i="5"/>
  <c r="R50" i="5" s="1"/>
  <c r="F51" i="5"/>
  <c r="F52" i="5"/>
  <c r="F53" i="5"/>
  <c r="R53" i="5" s="1"/>
  <c r="F54" i="5"/>
  <c r="F55" i="5"/>
  <c r="P55" i="5" s="1"/>
  <c r="F21" i="5"/>
  <c r="L21" i="5" s="1"/>
  <c r="F22" i="5"/>
  <c r="F23" i="5"/>
  <c r="O23" i="5" s="1"/>
  <c r="F24" i="5"/>
  <c r="N24" i="5" s="1"/>
  <c r="F25" i="5"/>
  <c r="F26" i="5"/>
  <c r="F27" i="5"/>
  <c r="F28" i="5"/>
  <c r="L28" i="5" s="1"/>
  <c r="F29" i="5"/>
  <c r="Q29" i="5" s="1"/>
  <c r="F30" i="5"/>
  <c r="F31" i="5"/>
  <c r="F32" i="5"/>
  <c r="F33" i="5"/>
  <c r="Q33" i="5" s="1"/>
  <c r="F34" i="5"/>
  <c r="N34" i="5" s="1"/>
  <c r="F35" i="5"/>
  <c r="F36" i="5"/>
  <c r="L36" i="5" s="1"/>
  <c r="F37" i="5"/>
  <c r="F56" i="5"/>
  <c r="F57" i="5"/>
  <c r="M57" i="5" s="1"/>
  <c r="F58" i="5"/>
  <c r="P58" i="5" s="1"/>
  <c r="F59" i="5"/>
  <c r="F60" i="5"/>
  <c r="Q60" i="5" s="1"/>
  <c r="F61" i="5"/>
  <c r="L61" i="5" s="1"/>
  <c r="F62" i="5"/>
  <c r="M62" i="5" s="1"/>
  <c r="F63" i="5"/>
  <c r="F64" i="5"/>
  <c r="F65" i="5"/>
  <c r="F66" i="5"/>
  <c r="Q66" i="5" s="1"/>
  <c r="F67" i="5"/>
  <c r="N67" i="5" s="1"/>
  <c r="F68" i="5"/>
  <c r="F69" i="5"/>
  <c r="F70" i="5"/>
  <c r="F71" i="5"/>
  <c r="N71" i="5" s="1"/>
  <c r="F72" i="5"/>
  <c r="F73" i="5"/>
  <c r="N73" i="5" s="1"/>
  <c r="F74" i="5"/>
  <c r="M74" i="5" s="1"/>
  <c r="F75" i="5"/>
  <c r="F76" i="5"/>
  <c r="F77" i="5"/>
  <c r="L77" i="5" s="1"/>
  <c r="F78" i="5"/>
  <c r="F79" i="5"/>
  <c r="Q79" i="5" s="1"/>
  <c r="F80" i="5"/>
  <c r="Q80" i="5" s="1"/>
  <c r="F81" i="5"/>
  <c r="L81" i="5" s="1"/>
  <c r="F82" i="5"/>
  <c r="F83" i="5"/>
  <c r="F84" i="5"/>
  <c r="O84" i="5" s="1"/>
  <c r="F85" i="5"/>
  <c r="F86" i="5"/>
  <c r="L86" i="5" s="1"/>
  <c r="F87" i="5"/>
  <c r="F88" i="5"/>
  <c r="F89" i="5"/>
  <c r="F90" i="5"/>
  <c r="O90" i="5" s="1"/>
  <c r="F91" i="5"/>
  <c r="F92" i="5"/>
  <c r="R92" i="5" s="1"/>
  <c r="F93" i="5"/>
  <c r="O93" i="5" s="1"/>
  <c r="F94" i="5"/>
  <c r="L94" i="5" s="1"/>
  <c r="F95" i="5"/>
  <c r="F96" i="5"/>
  <c r="R96" i="5" s="1"/>
  <c r="F97" i="5"/>
  <c r="L97" i="5" s="1"/>
  <c r="F98" i="5"/>
  <c r="N98" i="5" s="1"/>
  <c r="F99" i="5"/>
  <c r="M99" i="5" s="1"/>
  <c r="F100" i="5"/>
  <c r="N100" i="5" s="1"/>
  <c r="F101" i="5"/>
  <c r="O101" i="5" s="1"/>
  <c r="F102" i="5"/>
  <c r="L102" i="5" s="1"/>
  <c r="F103" i="5"/>
  <c r="F104" i="5"/>
  <c r="F105" i="5"/>
  <c r="F106" i="5"/>
  <c r="P106" i="5" s="1"/>
  <c r="F107" i="5"/>
  <c r="F108" i="5"/>
  <c r="F109" i="5"/>
  <c r="P109" i="5" s="1"/>
  <c r="F110" i="5"/>
  <c r="R110" i="5" s="1"/>
  <c r="F111" i="5"/>
  <c r="N111" i="5" s="1"/>
  <c r="F112" i="5"/>
  <c r="L112" i="5" s="1"/>
  <c r="F113" i="5"/>
  <c r="F114" i="5"/>
  <c r="O114" i="5" s="1"/>
  <c r="F115" i="5"/>
  <c r="L115" i="5" s="1"/>
  <c r="F116" i="5"/>
  <c r="F117" i="5"/>
  <c r="R117" i="5" s="1"/>
  <c r="F118" i="5"/>
  <c r="P118" i="5" s="1"/>
  <c r="F119" i="5"/>
  <c r="L119" i="5" s="1"/>
  <c r="F120" i="5"/>
  <c r="L120" i="5" s="1"/>
  <c r="F121" i="5"/>
  <c r="P121" i="5" s="1"/>
  <c r="F122" i="5"/>
  <c r="R122" i="5" s="1"/>
  <c r="F123" i="5"/>
  <c r="F124" i="5"/>
  <c r="F125" i="5"/>
  <c r="F126" i="5"/>
  <c r="L126" i="5" s="1"/>
  <c r="F127" i="5"/>
  <c r="P127" i="5" s="1"/>
  <c r="F128" i="5"/>
  <c r="F129" i="5"/>
  <c r="F130" i="5"/>
  <c r="F131" i="5"/>
  <c r="F132" i="5"/>
  <c r="L132" i="5" s="1"/>
  <c r="F133" i="5"/>
  <c r="O133" i="5" s="1"/>
  <c r="F134" i="5"/>
  <c r="L134" i="5" s="1"/>
  <c r="F135" i="5"/>
  <c r="F136" i="5"/>
  <c r="F137" i="5"/>
  <c r="F138" i="5"/>
  <c r="L138" i="5" s="1"/>
  <c r="F139" i="5"/>
  <c r="R139" i="5" s="1"/>
  <c r="F140" i="5"/>
  <c r="F141" i="5"/>
  <c r="O141" i="5" s="1"/>
  <c r="F142" i="5"/>
  <c r="L142" i="5" s="1"/>
  <c r="F143" i="5"/>
  <c r="F144" i="5"/>
  <c r="N144" i="5" s="1"/>
  <c r="F145" i="5"/>
  <c r="M145" i="5" s="1"/>
  <c r="F146" i="5"/>
  <c r="L146" i="5" s="1"/>
  <c r="F147" i="5"/>
  <c r="F148" i="5"/>
  <c r="F149" i="5"/>
  <c r="F150" i="5"/>
  <c r="L150" i="5" s="1"/>
  <c r="F151" i="5"/>
  <c r="M151" i="5" s="1"/>
  <c r="F152" i="5"/>
  <c r="F153" i="5"/>
  <c r="O153" i="5" s="1"/>
  <c r="F154" i="5"/>
  <c r="O154" i="5" s="1"/>
  <c r="F155" i="5"/>
  <c r="F156" i="5"/>
  <c r="M156" i="5" s="1"/>
  <c r="F157" i="5"/>
  <c r="Q157" i="5" s="1"/>
  <c r="F158" i="5"/>
  <c r="L158" i="5" s="1"/>
  <c r="F159" i="5"/>
  <c r="M159" i="5" s="1"/>
  <c r="F160" i="5"/>
  <c r="L160" i="5" s="1"/>
  <c r="F161" i="5"/>
  <c r="L161" i="5" s="1"/>
  <c r="F162" i="5"/>
  <c r="L162" i="5" s="1"/>
  <c r="F163" i="5"/>
  <c r="F164" i="5"/>
  <c r="F165" i="5"/>
  <c r="F166" i="5"/>
  <c r="L166" i="5" s="1"/>
  <c r="F167" i="5"/>
  <c r="L167" i="5" s="1"/>
  <c r="F168" i="5"/>
  <c r="L168" i="5" s="1"/>
  <c r="F169" i="5"/>
  <c r="F170" i="5"/>
  <c r="F171" i="5"/>
  <c r="F172" i="5"/>
  <c r="F173" i="5"/>
  <c r="M173" i="5" s="1"/>
  <c r="F174" i="5"/>
  <c r="O174" i="5" s="1"/>
  <c r="F175" i="5"/>
  <c r="F176" i="5"/>
  <c r="R176" i="5" s="1"/>
  <c r="F177" i="5"/>
  <c r="N177" i="5" s="1"/>
  <c r="F178" i="5"/>
  <c r="N178" i="5" s="1"/>
  <c r="F179" i="5"/>
  <c r="O179" i="5" s="1"/>
  <c r="F180" i="5"/>
  <c r="M180" i="5" s="1"/>
  <c r="F181" i="5"/>
  <c r="R181" i="5" s="1"/>
  <c r="F182" i="5"/>
  <c r="R182" i="5" s="1"/>
  <c r="F183" i="5"/>
  <c r="F184" i="5"/>
  <c r="F185" i="5"/>
  <c r="F186" i="5"/>
  <c r="N186" i="5" s="1"/>
  <c r="F187" i="5"/>
  <c r="L187" i="5" s="1"/>
  <c r="F188" i="5"/>
  <c r="F189" i="5"/>
  <c r="F190" i="5"/>
  <c r="O190" i="5" s="1"/>
  <c r="F191" i="5"/>
  <c r="O191" i="5" s="1"/>
  <c r="F192" i="5"/>
  <c r="R192" i="5" s="1"/>
  <c r="F193" i="5"/>
  <c r="O193" i="5" s="1"/>
  <c r="F194" i="5"/>
  <c r="P194" i="5" s="1"/>
  <c r="F195" i="5"/>
  <c r="N195" i="5" s="1"/>
  <c r="F196" i="5"/>
  <c r="M196" i="5" s="1"/>
  <c r="F197" i="5"/>
  <c r="L197" i="5" s="1"/>
  <c r="F198" i="5"/>
  <c r="M198" i="5" s="1"/>
  <c r="F199" i="5"/>
  <c r="R199" i="5" s="1"/>
  <c r="F200" i="5"/>
  <c r="L200" i="5" s="1"/>
  <c r="F201" i="5"/>
  <c r="R201" i="5" s="1"/>
  <c r="F202" i="5"/>
  <c r="F203" i="5"/>
  <c r="F204" i="5"/>
  <c r="R204" i="5" s="1"/>
  <c r="F205" i="5"/>
  <c r="L205" i="5" s="1"/>
  <c r="F206" i="5"/>
  <c r="L206" i="5" s="1"/>
  <c r="F207" i="5"/>
  <c r="Q207" i="5" s="1"/>
  <c r="F208" i="5"/>
  <c r="N208" i="5" s="1"/>
  <c r="F209" i="5"/>
  <c r="Q209" i="5" s="1"/>
  <c r="F210" i="5"/>
  <c r="O210" i="5" s="1"/>
  <c r="F211" i="5"/>
  <c r="F212" i="5"/>
  <c r="P212" i="5" s="1"/>
  <c r="F213" i="5"/>
  <c r="L213" i="5" s="1"/>
  <c r="F214" i="5"/>
  <c r="O214" i="5" s="1"/>
  <c r="F215" i="5"/>
  <c r="F216" i="5"/>
  <c r="O216" i="5" s="1"/>
  <c r="F217" i="5"/>
  <c r="Q217" i="5" s="1"/>
  <c r="F218" i="5"/>
  <c r="R218" i="5" s="1"/>
  <c r="F219" i="5"/>
  <c r="O219" i="5" s="1"/>
  <c r="F220" i="5"/>
  <c r="P220" i="5" s="1"/>
  <c r="F221" i="5"/>
  <c r="M221" i="5" s="1"/>
  <c r="F222" i="5"/>
  <c r="P222" i="5" s="1"/>
  <c r="F223" i="5"/>
  <c r="F224" i="5"/>
  <c r="F225" i="5"/>
  <c r="Q225" i="5" s="1"/>
  <c r="F226" i="5"/>
  <c r="Q226" i="5" s="1"/>
  <c r="F227" i="5"/>
  <c r="L227" i="5" s="1"/>
  <c r="F228" i="5"/>
  <c r="R228" i="5" s="1"/>
  <c r="F229" i="5"/>
  <c r="Q229" i="5" s="1"/>
  <c r="F230" i="5"/>
  <c r="L230" i="5" s="1"/>
  <c r="F231" i="5"/>
  <c r="O231" i="5" s="1"/>
  <c r="F232" i="5"/>
  <c r="L232" i="5" s="1"/>
  <c r="F233" i="5"/>
  <c r="M233" i="5" s="1"/>
  <c r="F234" i="5"/>
  <c r="F235" i="5"/>
  <c r="L235" i="5" s="1"/>
  <c r="F236" i="5"/>
  <c r="R236" i="5" s="1"/>
  <c r="F237" i="5"/>
  <c r="N237" i="5" s="1"/>
  <c r="F238" i="5"/>
  <c r="R238" i="5" s="1"/>
  <c r="F239" i="5"/>
  <c r="F240" i="5"/>
  <c r="L240" i="5" s="1"/>
  <c r="F241" i="5"/>
  <c r="R241" i="5" s="1"/>
  <c r="F242" i="5"/>
  <c r="P242" i="5" s="1"/>
  <c r="F243" i="5"/>
  <c r="F244" i="5"/>
  <c r="L244" i="5" s="1"/>
  <c r="F245" i="5"/>
  <c r="O245" i="5" s="1"/>
  <c r="F246" i="5"/>
  <c r="Q246" i="5" s="1"/>
  <c r="F247" i="5"/>
  <c r="F248" i="5"/>
  <c r="N248" i="5" s="1"/>
  <c r="F249" i="5"/>
  <c r="L249" i="5" s="1"/>
  <c r="F250" i="5"/>
  <c r="F251" i="5"/>
  <c r="F252" i="5"/>
  <c r="O252" i="5" s="1"/>
  <c r="F253" i="5"/>
  <c r="L253" i="5" s="1"/>
  <c r="F254" i="5"/>
  <c r="N254" i="5" s="1"/>
  <c r="F255" i="5"/>
  <c r="O255" i="5" s="1"/>
  <c r="F256" i="5"/>
  <c r="R256" i="5" s="1"/>
  <c r="F257" i="5"/>
  <c r="O257" i="5" s="1"/>
  <c r="F258" i="5"/>
  <c r="M258" i="5" s="1"/>
  <c r="F259" i="5"/>
  <c r="R259" i="5" s="1"/>
  <c r="F260" i="5"/>
  <c r="M260" i="5" s="1"/>
  <c r="F261" i="5"/>
  <c r="R261" i="5" s="1"/>
  <c r="F262" i="5"/>
  <c r="M262" i="5" s="1"/>
  <c r="F263" i="5"/>
  <c r="P263" i="5" s="1"/>
  <c r="F264" i="5"/>
  <c r="L264" i="5" s="1"/>
  <c r="F265" i="5"/>
  <c r="F266" i="5"/>
  <c r="O266" i="5" s="1"/>
  <c r="F267" i="5"/>
  <c r="L267" i="5" s="1"/>
  <c r="F268" i="5"/>
  <c r="L268" i="5" s="1"/>
  <c r="F269" i="5"/>
  <c r="M269" i="5" s="1"/>
  <c r="F270" i="5"/>
  <c r="L270" i="5" s="1"/>
  <c r="F271" i="5"/>
  <c r="M271" i="5" s="1"/>
  <c r="F272" i="5"/>
  <c r="R272" i="5" s="1"/>
  <c r="F273" i="5"/>
  <c r="L273" i="5" s="1"/>
  <c r="F274" i="5"/>
  <c r="N274" i="5" s="1"/>
  <c r="F275" i="5"/>
  <c r="P275" i="5" s="1"/>
  <c r="F276" i="5"/>
  <c r="L276" i="5" s="1"/>
  <c r="F277" i="5"/>
  <c r="Q277" i="5" s="1"/>
  <c r="F278" i="5"/>
  <c r="L278" i="5" s="1"/>
  <c r="F279" i="5"/>
  <c r="M279" i="5" s="1"/>
  <c r="F280" i="5"/>
  <c r="R280" i="5" s="1"/>
  <c r="F281" i="5"/>
  <c r="R281" i="5" s="1"/>
  <c r="F282" i="5"/>
  <c r="F283" i="5"/>
  <c r="L283" i="5" s="1"/>
  <c r="F284" i="5"/>
  <c r="F285" i="5"/>
  <c r="N285" i="5" s="1"/>
  <c r="F286" i="5"/>
  <c r="O286" i="5" s="1"/>
  <c r="F287" i="5"/>
  <c r="F288" i="5"/>
  <c r="N288" i="5" s="1"/>
  <c r="F289" i="5"/>
  <c r="L289" i="5" s="1"/>
  <c r="F290" i="5"/>
  <c r="L290" i="5" s="1"/>
  <c r="F291" i="5"/>
  <c r="O291" i="5" s="1"/>
  <c r="F292" i="5"/>
  <c r="L292" i="5" s="1"/>
  <c r="F293" i="5"/>
  <c r="M293" i="5" s="1"/>
  <c r="F294" i="5"/>
  <c r="O294" i="5" s="1"/>
  <c r="F295" i="5"/>
  <c r="L295" i="5" s="1"/>
  <c r="F296" i="5"/>
  <c r="F297" i="5"/>
  <c r="L297" i="5" s="1"/>
  <c r="F298" i="5"/>
  <c r="P298" i="5" s="1"/>
  <c r="F299" i="5"/>
  <c r="N299" i="5" s="1"/>
  <c r="F300" i="5"/>
  <c r="L300" i="5" s="1"/>
  <c r="F301" i="5"/>
  <c r="O301" i="5" s="1"/>
  <c r="F302" i="5"/>
  <c r="F303" i="5"/>
  <c r="O303" i="5" s="1"/>
  <c r="F304" i="5"/>
  <c r="L304" i="5" s="1"/>
  <c r="F305" i="5"/>
  <c r="R305" i="5" s="1"/>
  <c r="F306" i="5"/>
  <c r="N306" i="5" s="1"/>
  <c r="F307" i="5"/>
  <c r="L307" i="5" s="1"/>
  <c r="F308" i="5"/>
  <c r="Q308" i="5" s="1"/>
  <c r="F309" i="5"/>
  <c r="M309" i="5" s="1"/>
  <c r="F310" i="5"/>
  <c r="O310" i="5" s="1"/>
  <c r="F311" i="5"/>
  <c r="P311" i="5" s="1"/>
  <c r="F312" i="5"/>
  <c r="Q312" i="5" s="1"/>
  <c r="F313" i="5"/>
  <c r="N313" i="5" s="1"/>
  <c r="F6" i="5"/>
  <c r="Q6" i="5" s="1"/>
  <c r="R3" i="6"/>
  <c r="R4" i="6"/>
  <c r="D5" i="6"/>
  <c r="R5" i="6"/>
  <c r="G6" i="6"/>
  <c r="H6" i="6"/>
  <c r="I6" i="6"/>
  <c r="J6" i="6"/>
  <c r="K6" i="6"/>
  <c r="L6" i="6"/>
  <c r="M6" i="6"/>
  <c r="N6" i="6"/>
  <c r="N5" i="6" s="1"/>
  <c r="R6" i="6"/>
  <c r="G7" i="6"/>
  <c r="H7" i="6"/>
  <c r="I7" i="6"/>
  <c r="J7" i="6"/>
  <c r="K7" i="6"/>
  <c r="L7" i="6"/>
  <c r="M7" i="6"/>
  <c r="N7" i="6"/>
  <c r="R7" i="6"/>
  <c r="G8" i="6"/>
  <c r="H8" i="6"/>
  <c r="I8" i="6"/>
  <c r="J8" i="6"/>
  <c r="K8" i="6"/>
  <c r="L8" i="6"/>
  <c r="M8" i="6"/>
  <c r="N8" i="6"/>
  <c r="R8" i="6"/>
  <c r="G9" i="6"/>
  <c r="H9" i="6"/>
  <c r="I9" i="6"/>
  <c r="J9" i="6"/>
  <c r="K9" i="6"/>
  <c r="L9" i="6"/>
  <c r="M9" i="6"/>
  <c r="N9" i="6"/>
  <c r="R9" i="6"/>
  <c r="G10" i="6"/>
  <c r="H10" i="6"/>
  <c r="I10" i="6"/>
  <c r="J10" i="6"/>
  <c r="K10" i="6"/>
  <c r="L10" i="6"/>
  <c r="M10" i="6"/>
  <c r="N10" i="6"/>
  <c r="G11" i="6"/>
  <c r="H11" i="6"/>
  <c r="I11" i="6"/>
  <c r="J11" i="6"/>
  <c r="K11" i="6"/>
  <c r="L11" i="6"/>
  <c r="M11" i="6"/>
  <c r="N11" i="6"/>
  <c r="G12" i="6"/>
  <c r="H12" i="6"/>
  <c r="I12" i="6"/>
  <c r="J12" i="6"/>
  <c r="K12" i="6"/>
  <c r="L12" i="6"/>
  <c r="M12" i="6"/>
  <c r="N12" i="6"/>
  <c r="G13" i="6"/>
  <c r="H13" i="6"/>
  <c r="I13" i="6"/>
  <c r="J13" i="6"/>
  <c r="K13" i="6"/>
  <c r="L13" i="6"/>
  <c r="M13" i="6"/>
  <c r="N13" i="6"/>
  <c r="G14" i="6"/>
  <c r="H14" i="6"/>
  <c r="I14" i="6"/>
  <c r="J14" i="6"/>
  <c r="K14" i="6"/>
  <c r="L14" i="6"/>
  <c r="M14" i="6"/>
  <c r="N14" i="6"/>
  <c r="G15" i="6"/>
  <c r="H15" i="6"/>
  <c r="I15" i="6"/>
  <c r="J15" i="6"/>
  <c r="K15" i="6"/>
  <c r="L15" i="6"/>
  <c r="M15" i="6"/>
  <c r="N15" i="6"/>
  <c r="G16" i="6"/>
  <c r="H16" i="6"/>
  <c r="I16" i="6"/>
  <c r="J16" i="6"/>
  <c r="K16" i="6"/>
  <c r="L16" i="6"/>
  <c r="M16" i="6"/>
  <c r="N16" i="6"/>
  <c r="G17" i="6"/>
  <c r="H17" i="6"/>
  <c r="I17" i="6"/>
  <c r="J17" i="6"/>
  <c r="K17" i="6"/>
  <c r="L17" i="6"/>
  <c r="M17" i="6"/>
  <c r="N17" i="6"/>
  <c r="G18" i="6"/>
  <c r="H18" i="6"/>
  <c r="I18" i="6"/>
  <c r="J18" i="6"/>
  <c r="K18" i="6"/>
  <c r="L18" i="6"/>
  <c r="M18" i="6"/>
  <c r="N18" i="6"/>
  <c r="G19" i="6"/>
  <c r="H19" i="6"/>
  <c r="I19" i="6"/>
  <c r="J19" i="6"/>
  <c r="K19" i="6"/>
  <c r="L19" i="6"/>
  <c r="M19" i="6"/>
  <c r="N19" i="6"/>
  <c r="G20" i="6"/>
  <c r="H20" i="6"/>
  <c r="I20" i="6"/>
  <c r="J20" i="6"/>
  <c r="K20" i="6"/>
  <c r="L20" i="6"/>
  <c r="M20" i="6"/>
  <c r="N20" i="6"/>
  <c r="G21" i="6"/>
  <c r="H21" i="6"/>
  <c r="I21" i="6"/>
  <c r="J21" i="6"/>
  <c r="K21" i="6"/>
  <c r="L21" i="6"/>
  <c r="M21" i="6"/>
  <c r="N21" i="6"/>
  <c r="G22" i="6"/>
  <c r="H22" i="6"/>
  <c r="I22" i="6"/>
  <c r="J22" i="6"/>
  <c r="K22" i="6"/>
  <c r="L22" i="6"/>
  <c r="M22" i="6"/>
  <c r="N22" i="6"/>
  <c r="G23" i="6"/>
  <c r="H23" i="6"/>
  <c r="I23" i="6"/>
  <c r="J23" i="6"/>
  <c r="K23" i="6"/>
  <c r="L23" i="6"/>
  <c r="M23" i="6"/>
  <c r="N23" i="6"/>
  <c r="G24" i="6"/>
  <c r="H24" i="6"/>
  <c r="I24" i="6"/>
  <c r="J24" i="6"/>
  <c r="K24" i="6"/>
  <c r="L24" i="6"/>
  <c r="M24" i="6"/>
  <c r="N24" i="6"/>
  <c r="G25" i="6"/>
  <c r="H25" i="6"/>
  <c r="I25" i="6"/>
  <c r="J25" i="6"/>
  <c r="K25" i="6"/>
  <c r="L25" i="6"/>
  <c r="M25" i="6"/>
  <c r="N25" i="6"/>
  <c r="G26" i="6"/>
  <c r="H26" i="6"/>
  <c r="I26" i="6"/>
  <c r="J26" i="6"/>
  <c r="K26" i="6"/>
  <c r="L26" i="6"/>
  <c r="M26" i="6"/>
  <c r="N26" i="6"/>
  <c r="G27" i="6"/>
  <c r="H27" i="6"/>
  <c r="I27" i="6"/>
  <c r="J27" i="6"/>
  <c r="K27" i="6"/>
  <c r="L27" i="6"/>
  <c r="M27" i="6"/>
  <c r="N27" i="6"/>
  <c r="G28" i="6"/>
  <c r="H28" i="6"/>
  <c r="I28" i="6"/>
  <c r="J28" i="6"/>
  <c r="K28" i="6"/>
  <c r="L28" i="6"/>
  <c r="M28" i="6"/>
  <c r="N28" i="6"/>
  <c r="G29" i="6"/>
  <c r="H29" i="6"/>
  <c r="I29" i="6"/>
  <c r="J29" i="6"/>
  <c r="K29" i="6"/>
  <c r="L29" i="6"/>
  <c r="M29" i="6"/>
  <c r="N29" i="6"/>
  <c r="G30" i="6"/>
  <c r="H30" i="6"/>
  <c r="I30" i="6"/>
  <c r="J30" i="6"/>
  <c r="K30" i="6"/>
  <c r="L30" i="6"/>
  <c r="M30" i="6"/>
  <c r="N30" i="6"/>
  <c r="G31" i="6"/>
  <c r="H31" i="6"/>
  <c r="I31" i="6"/>
  <c r="J31" i="6"/>
  <c r="K31" i="6"/>
  <c r="L31" i="6"/>
  <c r="M31" i="6"/>
  <c r="N31" i="6"/>
  <c r="G32" i="6"/>
  <c r="H32" i="6"/>
  <c r="I32" i="6"/>
  <c r="J32" i="6"/>
  <c r="K32" i="6"/>
  <c r="L32" i="6"/>
  <c r="M32" i="6"/>
  <c r="N32" i="6"/>
  <c r="G33" i="6"/>
  <c r="H33" i="6"/>
  <c r="I33" i="6"/>
  <c r="J33" i="6"/>
  <c r="K33" i="6"/>
  <c r="L33" i="6"/>
  <c r="M33" i="6"/>
  <c r="N33" i="6"/>
  <c r="G34" i="6"/>
  <c r="H34" i="6"/>
  <c r="I34" i="6"/>
  <c r="J34" i="6"/>
  <c r="K34" i="6"/>
  <c r="L34" i="6"/>
  <c r="M34" i="6"/>
  <c r="N34" i="6"/>
  <c r="G35" i="6"/>
  <c r="H35" i="6"/>
  <c r="I35" i="6"/>
  <c r="J35" i="6"/>
  <c r="K35" i="6"/>
  <c r="L35" i="6"/>
  <c r="M35" i="6"/>
  <c r="N35" i="6"/>
  <c r="G36" i="6"/>
  <c r="H36" i="6"/>
  <c r="I36" i="6"/>
  <c r="J36" i="6"/>
  <c r="K36" i="6"/>
  <c r="L36" i="6"/>
  <c r="M36" i="6"/>
  <c r="N36" i="6"/>
  <c r="G37" i="6"/>
  <c r="H37" i="6"/>
  <c r="I37" i="6"/>
  <c r="J37" i="6"/>
  <c r="K37" i="6"/>
  <c r="L37" i="6"/>
  <c r="M37" i="6"/>
  <c r="N37" i="6"/>
  <c r="G38" i="6"/>
  <c r="H38" i="6"/>
  <c r="I38" i="6"/>
  <c r="J38" i="6"/>
  <c r="K38" i="6"/>
  <c r="L38" i="6"/>
  <c r="M38" i="6"/>
  <c r="N38" i="6"/>
  <c r="G39" i="6"/>
  <c r="H39" i="6"/>
  <c r="I39" i="6"/>
  <c r="J39" i="6"/>
  <c r="K39" i="6"/>
  <c r="L39" i="6"/>
  <c r="M39" i="6"/>
  <c r="N39" i="6"/>
  <c r="G40" i="6"/>
  <c r="H40" i="6"/>
  <c r="I40" i="6"/>
  <c r="J40" i="6"/>
  <c r="K40" i="6"/>
  <c r="L40" i="6"/>
  <c r="M40" i="6"/>
  <c r="N40" i="6"/>
  <c r="G41" i="6"/>
  <c r="H41" i="6"/>
  <c r="I41" i="6"/>
  <c r="J41" i="6"/>
  <c r="K41" i="6"/>
  <c r="L41" i="6"/>
  <c r="M41" i="6"/>
  <c r="N41" i="6"/>
  <c r="G42" i="6"/>
  <c r="H42" i="6"/>
  <c r="I42" i="6"/>
  <c r="J42" i="6"/>
  <c r="K42" i="6"/>
  <c r="L42" i="6"/>
  <c r="M42" i="6"/>
  <c r="N42" i="6"/>
  <c r="G43" i="6"/>
  <c r="H43" i="6"/>
  <c r="I43" i="6"/>
  <c r="J43" i="6"/>
  <c r="K43" i="6"/>
  <c r="L43" i="6"/>
  <c r="M43" i="6"/>
  <c r="N43" i="6"/>
  <c r="G44" i="6"/>
  <c r="H44" i="6"/>
  <c r="I44" i="6"/>
  <c r="J44" i="6"/>
  <c r="K44" i="6"/>
  <c r="L44" i="6"/>
  <c r="M44" i="6"/>
  <c r="N44" i="6"/>
  <c r="G45" i="6"/>
  <c r="H45" i="6"/>
  <c r="I45" i="6"/>
  <c r="J45" i="6"/>
  <c r="K45" i="6"/>
  <c r="L45" i="6"/>
  <c r="M45" i="6"/>
  <c r="N45" i="6"/>
  <c r="G46" i="6"/>
  <c r="H46" i="6"/>
  <c r="I46" i="6"/>
  <c r="J46" i="6"/>
  <c r="K46" i="6"/>
  <c r="L46" i="6"/>
  <c r="M46" i="6"/>
  <c r="N46" i="6"/>
  <c r="G47" i="6"/>
  <c r="H47" i="6"/>
  <c r="I47" i="6"/>
  <c r="J47" i="6"/>
  <c r="K47" i="6"/>
  <c r="L47" i="6"/>
  <c r="M47" i="6"/>
  <c r="N47" i="6"/>
  <c r="G48" i="6"/>
  <c r="H48" i="6"/>
  <c r="I48" i="6"/>
  <c r="J48" i="6"/>
  <c r="K48" i="6"/>
  <c r="L48" i="6"/>
  <c r="M48" i="6"/>
  <c r="N48" i="6"/>
  <c r="G49" i="6"/>
  <c r="H49" i="6"/>
  <c r="I49" i="6"/>
  <c r="J49" i="6"/>
  <c r="K49" i="6"/>
  <c r="L49" i="6"/>
  <c r="M49" i="6"/>
  <c r="N49" i="6"/>
  <c r="G50" i="6"/>
  <c r="H50" i="6"/>
  <c r="I50" i="6"/>
  <c r="J50" i="6"/>
  <c r="K50" i="6"/>
  <c r="L50" i="6"/>
  <c r="M50" i="6"/>
  <c r="N50" i="6"/>
  <c r="G51" i="6"/>
  <c r="H51" i="6"/>
  <c r="I51" i="6"/>
  <c r="J51" i="6"/>
  <c r="K51" i="6"/>
  <c r="L51" i="6"/>
  <c r="M51" i="6"/>
  <c r="N51" i="6"/>
  <c r="G52" i="6"/>
  <c r="H52" i="6"/>
  <c r="I52" i="6"/>
  <c r="J52" i="6"/>
  <c r="K52" i="6"/>
  <c r="L52" i="6"/>
  <c r="M52" i="6"/>
  <c r="N52" i="6"/>
  <c r="G53" i="6"/>
  <c r="H53" i="6"/>
  <c r="I53" i="6"/>
  <c r="J53" i="6"/>
  <c r="K53" i="6"/>
  <c r="L53" i="6"/>
  <c r="M53" i="6"/>
  <c r="N53" i="6"/>
  <c r="G54" i="6"/>
  <c r="H54" i="6"/>
  <c r="I54" i="6"/>
  <c r="J54" i="6"/>
  <c r="K54" i="6"/>
  <c r="L54" i="6"/>
  <c r="M54" i="6"/>
  <c r="N54" i="6"/>
  <c r="G55" i="6"/>
  <c r="H55" i="6"/>
  <c r="I55" i="6"/>
  <c r="J55" i="6"/>
  <c r="K55" i="6"/>
  <c r="L55" i="6"/>
  <c r="M55" i="6"/>
  <c r="N55" i="6"/>
  <c r="G56" i="6"/>
  <c r="H56" i="6"/>
  <c r="I56" i="6"/>
  <c r="J56" i="6"/>
  <c r="K56" i="6"/>
  <c r="L56" i="6"/>
  <c r="M56" i="6"/>
  <c r="N56" i="6"/>
  <c r="G57" i="6"/>
  <c r="H57" i="6"/>
  <c r="I57" i="6"/>
  <c r="J57" i="6"/>
  <c r="K57" i="6"/>
  <c r="L57" i="6"/>
  <c r="M57" i="6"/>
  <c r="N57" i="6"/>
  <c r="G58" i="6"/>
  <c r="H58" i="6"/>
  <c r="I58" i="6"/>
  <c r="J58" i="6"/>
  <c r="K58" i="6"/>
  <c r="L58" i="6"/>
  <c r="M58" i="6"/>
  <c r="N58" i="6"/>
  <c r="G59" i="6"/>
  <c r="H59" i="6"/>
  <c r="I59" i="6"/>
  <c r="J59" i="6"/>
  <c r="K59" i="6"/>
  <c r="L59" i="6"/>
  <c r="M59" i="6"/>
  <c r="N59" i="6"/>
  <c r="G60" i="6"/>
  <c r="H60" i="6"/>
  <c r="I60" i="6"/>
  <c r="J60" i="6"/>
  <c r="K60" i="6"/>
  <c r="L60" i="6"/>
  <c r="M60" i="6"/>
  <c r="N60" i="6"/>
  <c r="G61" i="6"/>
  <c r="H61" i="6"/>
  <c r="I61" i="6"/>
  <c r="J61" i="6"/>
  <c r="K61" i="6"/>
  <c r="L61" i="6"/>
  <c r="M61" i="6"/>
  <c r="N61" i="6"/>
  <c r="G62" i="6"/>
  <c r="H62" i="6"/>
  <c r="I62" i="6"/>
  <c r="J62" i="6"/>
  <c r="K62" i="6"/>
  <c r="L62" i="6"/>
  <c r="M62" i="6"/>
  <c r="N62" i="6"/>
  <c r="G63" i="6"/>
  <c r="H63" i="6"/>
  <c r="I63" i="6"/>
  <c r="J63" i="6"/>
  <c r="K63" i="6"/>
  <c r="L63" i="6"/>
  <c r="M63" i="6"/>
  <c r="N63" i="6"/>
  <c r="G64" i="6"/>
  <c r="H64" i="6"/>
  <c r="I64" i="6"/>
  <c r="J64" i="6"/>
  <c r="K64" i="6"/>
  <c r="L64" i="6"/>
  <c r="M64" i="6"/>
  <c r="N64" i="6"/>
  <c r="G65" i="6"/>
  <c r="H65" i="6"/>
  <c r="I65" i="6"/>
  <c r="J65" i="6"/>
  <c r="K65" i="6"/>
  <c r="L65" i="6"/>
  <c r="M65" i="6"/>
  <c r="N65" i="6"/>
  <c r="G66" i="6"/>
  <c r="H66" i="6"/>
  <c r="I66" i="6"/>
  <c r="J66" i="6"/>
  <c r="K66" i="6"/>
  <c r="L66" i="6"/>
  <c r="M66" i="6"/>
  <c r="N66" i="6"/>
  <c r="G67" i="6"/>
  <c r="H67" i="6"/>
  <c r="I67" i="6"/>
  <c r="J67" i="6"/>
  <c r="K67" i="6"/>
  <c r="L67" i="6"/>
  <c r="M67" i="6"/>
  <c r="N67" i="6"/>
  <c r="G68" i="6"/>
  <c r="H68" i="6"/>
  <c r="I68" i="6"/>
  <c r="J68" i="6"/>
  <c r="K68" i="6"/>
  <c r="L68" i="6"/>
  <c r="M68" i="6"/>
  <c r="N68" i="6"/>
  <c r="G69" i="6"/>
  <c r="H69" i="6"/>
  <c r="I69" i="6"/>
  <c r="J69" i="6"/>
  <c r="K69" i="6"/>
  <c r="L69" i="6"/>
  <c r="M69" i="6"/>
  <c r="N69" i="6"/>
  <c r="G70" i="6"/>
  <c r="H70" i="6"/>
  <c r="I70" i="6"/>
  <c r="J70" i="6"/>
  <c r="K70" i="6"/>
  <c r="L70" i="6"/>
  <c r="M70" i="6"/>
  <c r="N70" i="6"/>
  <c r="G71" i="6"/>
  <c r="H71" i="6"/>
  <c r="I71" i="6"/>
  <c r="J71" i="6"/>
  <c r="K71" i="6"/>
  <c r="L71" i="6"/>
  <c r="M71" i="6"/>
  <c r="N71" i="6"/>
  <c r="G72" i="6"/>
  <c r="H72" i="6"/>
  <c r="I72" i="6"/>
  <c r="J72" i="6"/>
  <c r="K72" i="6"/>
  <c r="L72" i="6"/>
  <c r="M72" i="6"/>
  <c r="N72" i="6"/>
  <c r="G73" i="6"/>
  <c r="H73" i="6"/>
  <c r="I73" i="6"/>
  <c r="J73" i="6"/>
  <c r="K73" i="6"/>
  <c r="L73" i="6"/>
  <c r="M73" i="6"/>
  <c r="N73" i="6"/>
  <c r="G74" i="6"/>
  <c r="H74" i="6"/>
  <c r="I74" i="6"/>
  <c r="J74" i="6"/>
  <c r="K74" i="6"/>
  <c r="L74" i="6"/>
  <c r="M74" i="6"/>
  <c r="N74" i="6"/>
  <c r="G75" i="6"/>
  <c r="H75" i="6"/>
  <c r="I75" i="6"/>
  <c r="J75" i="6"/>
  <c r="K75" i="6"/>
  <c r="L75" i="6"/>
  <c r="M75" i="6"/>
  <c r="N75" i="6"/>
  <c r="G76" i="6"/>
  <c r="H76" i="6"/>
  <c r="I76" i="6"/>
  <c r="J76" i="6"/>
  <c r="K76" i="6"/>
  <c r="L76" i="6"/>
  <c r="M76" i="6"/>
  <c r="N76" i="6"/>
  <c r="G77" i="6"/>
  <c r="H77" i="6"/>
  <c r="I77" i="6"/>
  <c r="J77" i="6"/>
  <c r="K77" i="6"/>
  <c r="L77" i="6"/>
  <c r="M77" i="6"/>
  <c r="N77" i="6"/>
  <c r="G78" i="6"/>
  <c r="H78" i="6"/>
  <c r="I78" i="6"/>
  <c r="J78" i="6"/>
  <c r="K78" i="6"/>
  <c r="L78" i="6"/>
  <c r="M78" i="6"/>
  <c r="N78" i="6"/>
  <c r="G79" i="6"/>
  <c r="H79" i="6"/>
  <c r="I79" i="6"/>
  <c r="J79" i="6"/>
  <c r="K79" i="6"/>
  <c r="L79" i="6"/>
  <c r="M79" i="6"/>
  <c r="N79" i="6"/>
  <c r="G80" i="6"/>
  <c r="H80" i="6"/>
  <c r="I80" i="6"/>
  <c r="J80" i="6"/>
  <c r="K80" i="6"/>
  <c r="L80" i="6"/>
  <c r="M80" i="6"/>
  <c r="N80" i="6"/>
  <c r="G81" i="6"/>
  <c r="H81" i="6"/>
  <c r="I81" i="6"/>
  <c r="J81" i="6"/>
  <c r="K81" i="6"/>
  <c r="L81" i="6"/>
  <c r="M81" i="6"/>
  <c r="N81" i="6"/>
  <c r="G82" i="6"/>
  <c r="H82" i="6"/>
  <c r="I82" i="6"/>
  <c r="J82" i="6"/>
  <c r="K82" i="6"/>
  <c r="L82" i="6"/>
  <c r="M82" i="6"/>
  <c r="N82" i="6"/>
  <c r="G83" i="6"/>
  <c r="H83" i="6"/>
  <c r="I83" i="6"/>
  <c r="J83" i="6"/>
  <c r="K83" i="6"/>
  <c r="L83" i="6"/>
  <c r="M83" i="6"/>
  <c r="N83" i="6"/>
  <c r="G84" i="6"/>
  <c r="H84" i="6"/>
  <c r="I84" i="6"/>
  <c r="J84" i="6"/>
  <c r="K84" i="6"/>
  <c r="L84" i="6"/>
  <c r="M84" i="6"/>
  <c r="N84" i="6"/>
  <c r="G85" i="6"/>
  <c r="H85" i="6"/>
  <c r="I85" i="6"/>
  <c r="J85" i="6"/>
  <c r="K85" i="6"/>
  <c r="L85" i="6"/>
  <c r="M85" i="6"/>
  <c r="N85" i="6"/>
  <c r="G86" i="6"/>
  <c r="H86" i="6"/>
  <c r="I86" i="6"/>
  <c r="J86" i="6"/>
  <c r="K86" i="6"/>
  <c r="L86" i="6"/>
  <c r="M86" i="6"/>
  <c r="N86" i="6"/>
  <c r="G87" i="6"/>
  <c r="H87" i="6"/>
  <c r="I87" i="6"/>
  <c r="J87" i="6"/>
  <c r="K87" i="6"/>
  <c r="L87" i="6"/>
  <c r="M87" i="6"/>
  <c r="N87" i="6"/>
  <c r="G88" i="6"/>
  <c r="H88" i="6"/>
  <c r="I88" i="6"/>
  <c r="J88" i="6"/>
  <c r="K88" i="6"/>
  <c r="L88" i="6"/>
  <c r="M88" i="6"/>
  <c r="N88" i="6"/>
  <c r="G89" i="6"/>
  <c r="H89" i="6"/>
  <c r="I89" i="6"/>
  <c r="J89" i="6"/>
  <c r="K89" i="6"/>
  <c r="L89" i="6"/>
  <c r="M89" i="6"/>
  <c r="N89" i="6"/>
  <c r="G90" i="6"/>
  <c r="H90" i="6"/>
  <c r="I90" i="6"/>
  <c r="J90" i="6"/>
  <c r="K90" i="6"/>
  <c r="L90" i="6"/>
  <c r="M90" i="6"/>
  <c r="N90" i="6"/>
  <c r="G91" i="6"/>
  <c r="H91" i="6"/>
  <c r="I91" i="6"/>
  <c r="J91" i="6"/>
  <c r="K91" i="6"/>
  <c r="L91" i="6"/>
  <c r="M91" i="6"/>
  <c r="N91" i="6"/>
  <c r="G92" i="6"/>
  <c r="H92" i="6"/>
  <c r="I92" i="6"/>
  <c r="J92" i="6"/>
  <c r="K92" i="6"/>
  <c r="L92" i="6"/>
  <c r="M92" i="6"/>
  <c r="N92" i="6"/>
  <c r="G93" i="6"/>
  <c r="H93" i="6"/>
  <c r="I93" i="6"/>
  <c r="J93" i="6"/>
  <c r="K93" i="6"/>
  <c r="L93" i="6"/>
  <c r="M93" i="6"/>
  <c r="N93" i="6"/>
  <c r="G94" i="6"/>
  <c r="H94" i="6"/>
  <c r="I94" i="6"/>
  <c r="J94" i="6"/>
  <c r="K94" i="6"/>
  <c r="L94" i="6"/>
  <c r="M94" i="6"/>
  <c r="N94" i="6"/>
  <c r="G95" i="6"/>
  <c r="H95" i="6"/>
  <c r="I95" i="6"/>
  <c r="J95" i="6"/>
  <c r="K95" i="6"/>
  <c r="L95" i="6"/>
  <c r="M95" i="6"/>
  <c r="N95" i="6"/>
  <c r="G96" i="6"/>
  <c r="H96" i="6"/>
  <c r="I96" i="6"/>
  <c r="J96" i="6"/>
  <c r="K96" i="6"/>
  <c r="L96" i="6"/>
  <c r="M96" i="6"/>
  <c r="N96" i="6"/>
  <c r="G97" i="6"/>
  <c r="H97" i="6"/>
  <c r="I97" i="6"/>
  <c r="J97" i="6"/>
  <c r="K97" i="6"/>
  <c r="L97" i="6"/>
  <c r="M97" i="6"/>
  <c r="N97" i="6"/>
  <c r="G98" i="6"/>
  <c r="H98" i="6"/>
  <c r="I98" i="6"/>
  <c r="J98" i="6"/>
  <c r="K98" i="6"/>
  <c r="L98" i="6"/>
  <c r="M98" i="6"/>
  <c r="N98" i="6"/>
  <c r="G99" i="6"/>
  <c r="H99" i="6"/>
  <c r="I99" i="6"/>
  <c r="J99" i="6"/>
  <c r="K99" i="6"/>
  <c r="L99" i="6"/>
  <c r="M99" i="6"/>
  <c r="N99" i="6"/>
  <c r="G100" i="6"/>
  <c r="H100" i="6"/>
  <c r="I100" i="6"/>
  <c r="J100" i="6"/>
  <c r="K100" i="6"/>
  <c r="L100" i="6"/>
  <c r="M100" i="6"/>
  <c r="N100" i="6"/>
  <c r="G101" i="6"/>
  <c r="H101" i="6"/>
  <c r="I101" i="6"/>
  <c r="J101" i="6"/>
  <c r="K101" i="6"/>
  <c r="L101" i="6"/>
  <c r="M101" i="6"/>
  <c r="N101" i="6"/>
  <c r="G102" i="6"/>
  <c r="H102" i="6"/>
  <c r="I102" i="6"/>
  <c r="J102" i="6"/>
  <c r="K102" i="6"/>
  <c r="L102" i="6"/>
  <c r="M102" i="6"/>
  <c r="N102" i="6"/>
  <c r="G103" i="6"/>
  <c r="H103" i="6"/>
  <c r="I103" i="6"/>
  <c r="J103" i="6"/>
  <c r="K103" i="6"/>
  <c r="L103" i="6"/>
  <c r="M103" i="6"/>
  <c r="N103" i="6"/>
  <c r="G104" i="6"/>
  <c r="H104" i="6"/>
  <c r="I104" i="6"/>
  <c r="J104" i="6"/>
  <c r="K104" i="6"/>
  <c r="L104" i="6"/>
  <c r="M104" i="6"/>
  <c r="N104" i="6"/>
  <c r="G105" i="6"/>
  <c r="H105" i="6"/>
  <c r="I105" i="6"/>
  <c r="J105" i="6"/>
  <c r="K105" i="6"/>
  <c r="L105" i="6"/>
  <c r="M105" i="6"/>
  <c r="N105" i="6"/>
  <c r="G106" i="6"/>
  <c r="H106" i="6"/>
  <c r="I106" i="6"/>
  <c r="J106" i="6"/>
  <c r="K106" i="6"/>
  <c r="L106" i="6"/>
  <c r="M106" i="6"/>
  <c r="N106" i="6"/>
  <c r="G107" i="6"/>
  <c r="H107" i="6"/>
  <c r="I107" i="6"/>
  <c r="J107" i="6"/>
  <c r="K107" i="6"/>
  <c r="L107" i="6"/>
  <c r="M107" i="6"/>
  <c r="N107" i="6"/>
  <c r="G108" i="6"/>
  <c r="H108" i="6"/>
  <c r="I108" i="6"/>
  <c r="J108" i="6"/>
  <c r="K108" i="6"/>
  <c r="L108" i="6"/>
  <c r="M108" i="6"/>
  <c r="N108" i="6"/>
  <c r="G109" i="6"/>
  <c r="H109" i="6"/>
  <c r="I109" i="6"/>
  <c r="J109" i="6"/>
  <c r="K109" i="6"/>
  <c r="L109" i="6"/>
  <c r="M109" i="6"/>
  <c r="N109" i="6"/>
  <c r="G110" i="6"/>
  <c r="H110" i="6"/>
  <c r="I110" i="6"/>
  <c r="J110" i="6"/>
  <c r="K110" i="6"/>
  <c r="L110" i="6"/>
  <c r="M110" i="6"/>
  <c r="N110" i="6"/>
  <c r="G111" i="6"/>
  <c r="H111" i="6"/>
  <c r="I111" i="6"/>
  <c r="J111" i="6"/>
  <c r="K111" i="6"/>
  <c r="L111" i="6"/>
  <c r="M111" i="6"/>
  <c r="N111" i="6"/>
  <c r="G112" i="6"/>
  <c r="H112" i="6"/>
  <c r="I112" i="6"/>
  <c r="J112" i="6"/>
  <c r="K112" i="6"/>
  <c r="L112" i="6"/>
  <c r="M112" i="6"/>
  <c r="N112" i="6"/>
  <c r="G113" i="6"/>
  <c r="H113" i="6"/>
  <c r="I113" i="6"/>
  <c r="J113" i="6"/>
  <c r="K113" i="6"/>
  <c r="L113" i="6"/>
  <c r="M113" i="6"/>
  <c r="N113" i="6"/>
  <c r="G114" i="6"/>
  <c r="H114" i="6"/>
  <c r="I114" i="6"/>
  <c r="J114" i="6"/>
  <c r="K114" i="6"/>
  <c r="L114" i="6"/>
  <c r="M114" i="6"/>
  <c r="N114" i="6"/>
  <c r="G115" i="6"/>
  <c r="H115" i="6"/>
  <c r="I115" i="6"/>
  <c r="J115" i="6"/>
  <c r="K115" i="6"/>
  <c r="L115" i="6"/>
  <c r="M115" i="6"/>
  <c r="N115" i="6"/>
  <c r="G116" i="6"/>
  <c r="H116" i="6"/>
  <c r="I116" i="6"/>
  <c r="J116" i="6"/>
  <c r="K116" i="6"/>
  <c r="L116" i="6"/>
  <c r="M116" i="6"/>
  <c r="N116" i="6"/>
  <c r="G117" i="6"/>
  <c r="H117" i="6"/>
  <c r="I117" i="6"/>
  <c r="J117" i="6"/>
  <c r="K117" i="6"/>
  <c r="L117" i="6"/>
  <c r="M117" i="6"/>
  <c r="N117" i="6"/>
  <c r="G118" i="6"/>
  <c r="H118" i="6"/>
  <c r="I118" i="6"/>
  <c r="J118" i="6"/>
  <c r="K118" i="6"/>
  <c r="L118" i="6"/>
  <c r="M118" i="6"/>
  <c r="N118" i="6"/>
  <c r="G119" i="6"/>
  <c r="H119" i="6"/>
  <c r="I119" i="6"/>
  <c r="J119" i="6"/>
  <c r="K119" i="6"/>
  <c r="L119" i="6"/>
  <c r="M119" i="6"/>
  <c r="N119" i="6"/>
  <c r="G120" i="6"/>
  <c r="H120" i="6"/>
  <c r="I120" i="6"/>
  <c r="J120" i="6"/>
  <c r="K120" i="6"/>
  <c r="L120" i="6"/>
  <c r="M120" i="6"/>
  <c r="N120" i="6"/>
  <c r="G121" i="6"/>
  <c r="H121" i="6"/>
  <c r="I121" i="6"/>
  <c r="J121" i="6"/>
  <c r="K121" i="6"/>
  <c r="L121" i="6"/>
  <c r="M121" i="6"/>
  <c r="N121" i="6"/>
  <c r="G122" i="6"/>
  <c r="H122" i="6"/>
  <c r="I122" i="6"/>
  <c r="J122" i="6"/>
  <c r="K122" i="6"/>
  <c r="L122" i="6"/>
  <c r="M122" i="6"/>
  <c r="N122" i="6"/>
  <c r="G123" i="6"/>
  <c r="H123" i="6"/>
  <c r="I123" i="6"/>
  <c r="J123" i="6"/>
  <c r="K123" i="6"/>
  <c r="L123" i="6"/>
  <c r="M123" i="6"/>
  <c r="N123" i="6"/>
  <c r="G124" i="6"/>
  <c r="H124" i="6"/>
  <c r="I124" i="6"/>
  <c r="J124" i="6"/>
  <c r="K124" i="6"/>
  <c r="L124" i="6"/>
  <c r="M124" i="6"/>
  <c r="N124" i="6"/>
  <c r="G125" i="6"/>
  <c r="H125" i="6"/>
  <c r="I125" i="6"/>
  <c r="J125" i="6"/>
  <c r="K125" i="6"/>
  <c r="L125" i="6"/>
  <c r="M125" i="6"/>
  <c r="N125" i="6"/>
  <c r="G126" i="6"/>
  <c r="H126" i="6"/>
  <c r="I126" i="6"/>
  <c r="J126" i="6"/>
  <c r="K126" i="6"/>
  <c r="L126" i="6"/>
  <c r="M126" i="6"/>
  <c r="N126" i="6"/>
  <c r="G127" i="6"/>
  <c r="H127" i="6"/>
  <c r="I127" i="6"/>
  <c r="J127" i="6"/>
  <c r="K127" i="6"/>
  <c r="L127" i="6"/>
  <c r="M127" i="6"/>
  <c r="N127" i="6"/>
  <c r="G128" i="6"/>
  <c r="H128" i="6"/>
  <c r="I128" i="6"/>
  <c r="J128" i="6"/>
  <c r="K128" i="6"/>
  <c r="L128" i="6"/>
  <c r="M128" i="6"/>
  <c r="N128" i="6"/>
  <c r="G129" i="6"/>
  <c r="H129" i="6"/>
  <c r="I129" i="6"/>
  <c r="J129" i="6"/>
  <c r="K129" i="6"/>
  <c r="L129" i="6"/>
  <c r="M129" i="6"/>
  <c r="N129" i="6"/>
  <c r="G130" i="6"/>
  <c r="H130" i="6"/>
  <c r="I130" i="6"/>
  <c r="J130" i="6"/>
  <c r="K130" i="6"/>
  <c r="L130" i="6"/>
  <c r="M130" i="6"/>
  <c r="N130" i="6"/>
  <c r="G131" i="6"/>
  <c r="H131" i="6"/>
  <c r="I131" i="6"/>
  <c r="J131" i="6"/>
  <c r="K131" i="6"/>
  <c r="L131" i="6"/>
  <c r="M131" i="6"/>
  <c r="N131" i="6"/>
  <c r="G132" i="6"/>
  <c r="H132" i="6"/>
  <c r="I132" i="6"/>
  <c r="J132" i="6"/>
  <c r="K132" i="6"/>
  <c r="L132" i="6"/>
  <c r="M132" i="6"/>
  <c r="N132" i="6"/>
  <c r="G133" i="6"/>
  <c r="H133" i="6"/>
  <c r="I133" i="6"/>
  <c r="J133" i="6"/>
  <c r="K133" i="6"/>
  <c r="L133" i="6"/>
  <c r="M133" i="6"/>
  <c r="N133" i="6"/>
  <c r="G134" i="6"/>
  <c r="H134" i="6"/>
  <c r="I134" i="6"/>
  <c r="J134" i="6"/>
  <c r="K134" i="6"/>
  <c r="L134" i="6"/>
  <c r="M134" i="6"/>
  <c r="N134" i="6"/>
  <c r="G135" i="6"/>
  <c r="H135" i="6"/>
  <c r="I135" i="6"/>
  <c r="J135" i="6"/>
  <c r="K135" i="6"/>
  <c r="L135" i="6"/>
  <c r="M135" i="6"/>
  <c r="N135" i="6"/>
  <c r="G136" i="6"/>
  <c r="H136" i="6"/>
  <c r="I136" i="6"/>
  <c r="J136" i="6"/>
  <c r="K136" i="6"/>
  <c r="L136" i="6"/>
  <c r="M136" i="6"/>
  <c r="N136" i="6"/>
  <c r="G137" i="6"/>
  <c r="H137" i="6"/>
  <c r="I137" i="6"/>
  <c r="J137" i="6"/>
  <c r="K137" i="6"/>
  <c r="L137" i="6"/>
  <c r="M137" i="6"/>
  <c r="N137" i="6"/>
  <c r="G138" i="6"/>
  <c r="H138" i="6"/>
  <c r="I138" i="6"/>
  <c r="J138" i="6"/>
  <c r="K138" i="6"/>
  <c r="L138" i="6"/>
  <c r="M138" i="6"/>
  <c r="N138" i="6"/>
  <c r="G139" i="6"/>
  <c r="H139" i="6"/>
  <c r="I139" i="6"/>
  <c r="J139" i="6"/>
  <c r="K139" i="6"/>
  <c r="L139" i="6"/>
  <c r="M139" i="6"/>
  <c r="N139" i="6"/>
  <c r="G140" i="6"/>
  <c r="H140" i="6"/>
  <c r="I140" i="6"/>
  <c r="J140" i="6"/>
  <c r="K140" i="6"/>
  <c r="L140" i="6"/>
  <c r="M140" i="6"/>
  <c r="N140" i="6"/>
  <c r="G141" i="6"/>
  <c r="H141" i="6"/>
  <c r="I141" i="6"/>
  <c r="J141" i="6"/>
  <c r="K141" i="6"/>
  <c r="L141" i="6"/>
  <c r="M141" i="6"/>
  <c r="N141" i="6"/>
  <c r="G142" i="6"/>
  <c r="H142" i="6"/>
  <c r="I142" i="6"/>
  <c r="J142" i="6"/>
  <c r="K142" i="6"/>
  <c r="L142" i="6"/>
  <c r="M142" i="6"/>
  <c r="N142" i="6"/>
  <c r="G143" i="6"/>
  <c r="H143" i="6"/>
  <c r="I143" i="6"/>
  <c r="J143" i="6"/>
  <c r="K143" i="6"/>
  <c r="L143" i="6"/>
  <c r="M143" i="6"/>
  <c r="N143" i="6"/>
  <c r="G144" i="6"/>
  <c r="H144" i="6"/>
  <c r="I144" i="6"/>
  <c r="J144" i="6"/>
  <c r="K144" i="6"/>
  <c r="L144" i="6"/>
  <c r="M144" i="6"/>
  <c r="N144" i="6"/>
  <c r="G145" i="6"/>
  <c r="H145" i="6"/>
  <c r="I145" i="6"/>
  <c r="J145" i="6"/>
  <c r="K145" i="6"/>
  <c r="L145" i="6"/>
  <c r="M145" i="6"/>
  <c r="N145" i="6"/>
  <c r="G146" i="6"/>
  <c r="H146" i="6"/>
  <c r="I146" i="6"/>
  <c r="J146" i="6"/>
  <c r="K146" i="6"/>
  <c r="L146" i="6"/>
  <c r="M146" i="6"/>
  <c r="N146" i="6"/>
  <c r="G147" i="6"/>
  <c r="H147" i="6"/>
  <c r="I147" i="6"/>
  <c r="J147" i="6"/>
  <c r="K147" i="6"/>
  <c r="L147" i="6"/>
  <c r="M147" i="6"/>
  <c r="N147" i="6"/>
  <c r="G148" i="6"/>
  <c r="H148" i="6"/>
  <c r="I148" i="6"/>
  <c r="J148" i="6"/>
  <c r="K148" i="6"/>
  <c r="L148" i="6"/>
  <c r="M148" i="6"/>
  <c r="N148" i="6"/>
  <c r="G149" i="6"/>
  <c r="H149" i="6"/>
  <c r="I149" i="6"/>
  <c r="J149" i="6"/>
  <c r="K149" i="6"/>
  <c r="L149" i="6"/>
  <c r="M149" i="6"/>
  <c r="N149" i="6"/>
  <c r="G150" i="6"/>
  <c r="H150" i="6"/>
  <c r="I150" i="6"/>
  <c r="J150" i="6"/>
  <c r="K150" i="6"/>
  <c r="L150" i="6"/>
  <c r="M150" i="6"/>
  <c r="N150" i="6"/>
  <c r="G151" i="6"/>
  <c r="H151" i="6"/>
  <c r="I151" i="6"/>
  <c r="J151" i="6"/>
  <c r="K151" i="6"/>
  <c r="L151" i="6"/>
  <c r="M151" i="6"/>
  <c r="N151" i="6"/>
  <c r="G152" i="6"/>
  <c r="H152" i="6"/>
  <c r="I152" i="6"/>
  <c r="J152" i="6"/>
  <c r="K152" i="6"/>
  <c r="L152" i="6"/>
  <c r="M152" i="6"/>
  <c r="N152" i="6"/>
  <c r="G153" i="6"/>
  <c r="H153" i="6"/>
  <c r="I153" i="6"/>
  <c r="J153" i="6"/>
  <c r="K153" i="6"/>
  <c r="L153" i="6"/>
  <c r="M153" i="6"/>
  <c r="N153" i="6"/>
  <c r="G154" i="6"/>
  <c r="H154" i="6"/>
  <c r="I154" i="6"/>
  <c r="J154" i="6"/>
  <c r="K154" i="6"/>
  <c r="L154" i="6"/>
  <c r="M154" i="6"/>
  <c r="N154" i="6"/>
  <c r="G155" i="6"/>
  <c r="H155" i="6"/>
  <c r="I155" i="6"/>
  <c r="J155" i="6"/>
  <c r="K155" i="6"/>
  <c r="L155" i="6"/>
  <c r="M155" i="6"/>
  <c r="N155" i="6"/>
  <c r="G156" i="6"/>
  <c r="H156" i="6"/>
  <c r="I156" i="6"/>
  <c r="J156" i="6"/>
  <c r="K156" i="6"/>
  <c r="L156" i="6"/>
  <c r="M156" i="6"/>
  <c r="N156" i="6"/>
  <c r="G157" i="6"/>
  <c r="H157" i="6"/>
  <c r="I157" i="6"/>
  <c r="J157" i="6"/>
  <c r="K157" i="6"/>
  <c r="L157" i="6"/>
  <c r="M157" i="6"/>
  <c r="N157" i="6"/>
  <c r="G158" i="6"/>
  <c r="H158" i="6"/>
  <c r="I158" i="6"/>
  <c r="J158" i="6"/>
  <c r="K158" i="6"/>
  <c r="L158" i="6"/>
  <c r="M158" i="6"/>
  <c r="N158" i="6"/>
  <c r="G159" i="6"/>
  <c r="H159" i="6"/>
  <c r="I159" i="6"/>
  <c r="J159" i="6"/>
  <c r="K159" i="6"/>
  <c r="L159" i="6"/>
  <c r="M159" i="6"/>
  <c r="N159" i="6"/>
  <c r="G160" i="6"/>
  <c r="H160" i="6"/>
  <c r="I160" i="6"/>
  <c r="J160" i="6"/>
  <c r="K160" i="6"/>
  <c r="L160" i="6"/>
  <c r="M160" i="6"/>
  <c r="N160" i="6"/>
  <c r="G161" i="6"/>
  <c r="H161" i="6"/>
  <c r="I161" i="6"/>
  <c r="J161" i="6"/>
  <c r="K161" i="6"/>
  <c r="L161" i="6"/>
  <c r="M161" i="6"/>
  <c r="N161" i="6"/>
  <c r="G162" i="6"/>
  <c r="H162" i="6"/>
  <c r="I162" i="6"/>
  <c r="J162" i="6"/>
  <c r="K162" i="6"/>
  <c r="L162" i="6"/>
  <c r="M162" i="6"/>
  <c r="N162" i="6"/>
  <c r="G163" i="6"/>
  <c r="H163" i="6"/>
  <c r="I163" i="6"/>
  <c r="J163" i="6"/>
  <c r="K163" i="6"/>
  <c r="L163" i="6"/>
  <c r="M163" i="6"/>
  <c r="N163" i="6"/>
  <c r="G164" i="6"/>
  <c r="H164" i="6"/>
  <c r="I164" i="6"/>
  <c r="J164" i="6"/>
  <c r="K164" i="6"/>
  <c r="L164" i="6"/>
  <c r="M164" i="6"/>
  <c r="N164" i="6"/>
  <c r="G165" i="6"/>
  <c r="H165" i="6"/>
  <c r="I165" i="6"/>
  <c r="J165" i="6"/>
  <c r="K165" i="6"/>
  <c r="L165" i="6"/>
  <c r="M165" i="6"/>
  <c r="N165" i="6"/>
  <c r="G166" i="6"/>
  <c r="H166" i="6"/>
  <c r="I166" i="6"/>
  <c r="J166" i="6"/>
  <c r="K166" i="6"/>
  <c r="L166" i="6"/>
  <c r="M166" i="6"/>
  <c r="N166" i="6"/>
  <c r="G167" i="6"/>
  <c r="H167" i="6"/>
  <c r="I167" i="6"/>
  <c r="J167" i="6"/>
  <c r="K167" i="6"/>
  <c r="L167" i="6"/>
  <c r="M167" i="6"/>
  <c r="N167" i="6"/>
  <c r="G168" i="6"/>
  <c r="H168" i="6"/>
  <c r="I168" i="6"/>
  <c r="J168" i="6"/>
  <c r="K168" i="6"/>
  <c r="L168" i="6"/>
  <c r="M168" i="6"/>
  <c r="N168" i="6"/>
  <c r="G169" i="6"/>
  <c r="H169" i="6"/>
  <c r="I169" i="6"/>
  <c r="J169" i="6"/>
  <c r="K169" i="6"/>
  <c r="L169" i="6"/>
  <c r="M169" i="6"/>
  <c r="N169" i="6"/>
  <c r="G170" i="6"/>
  <c r="H170" i="6"/>
  <c r="I170" i="6"/>
  <c r="J170" i="6"/>
  <c r="K170" i="6"/>
  <c r="L170" i="6"/>
  <c r="M170" i="6"/>
  <c r="N170" i="6"/>
  <c r="G171" i="6"/>
  <c r="H171" i="6"/>
  <c r="I171" i="6"/>
  <c r="J171" i="6"/>
  <c r="K171" i="6"/>
  <c r="L171" i="6"/>
  <c r="M171" i="6"/>
  <c r="N171" i="6"/>
  <c r="G172" i="6"/>
  <c r="H172" i="6"/>
  <c r="I172" i="6"/>
  <c r="J172" i="6"/>
  <c r="K172" i="6"/>
  <c r="L172" i="6"/>
  <c r="M172" i="6"/>
  <c r="N172" i="6"/>
  <c r="G173" i="6"/>
  <c r="H173" i="6"/>
  <c r="I173" i="6"/>
  <c r="J173" i="6"/>
  <c r="K173" i="6"/>
  <c r="L173" i="6"/>
  <c r="M173" i="6"/>
  <c r="N173" i="6"/>
  <c r="G174" i="6"/>
  <c r="H174" i="6"/>
  <c r="I174" i="6"/>
  <c r="J174" i="6"/>
  <c r="K174" i="6"/>
  <c r="L174" i="6"/>
  <c r="M174" i="6"/>
  <c r="N174" i="6"/>
  <c r="G175" i="6"/>
  <c r="H175" i="6"/>
  <c r="I175" i="6"/>
  <c r="J175" i="6"/>
  <c r="K175" i="6"/>
  <c r="L175" i="6"/>
  <c r="M175" i="6"/>
  <c r="N175" i="6"/>
  <c r="G176" i="6"/>
  <c r="H176" i="6"/>
  <c r="I176" i="6"/>
  <c r="J176" i="6"/>
  <c r="K176" i="6"/>
  <c r="L176" i="6"/>
  <c r="M176" i="6"/>
  <c r="N176" i="6"/>
  <c r="G177" i="6"/>
  <c r="H177" i="6"/>
  <c r="I177" i="6"/>
  <c r="J177" i="6"/>
  <c r="K177" i="6"/>
  <c r="L177" i="6"/>
  <c r="M177" i="6"/>
  <c r="N177" i="6"/>
  <c r="G178" i="6"/>
  <c r="H178" i="6"/>
  <c r="I178" i="6"/>
  <c r="J178" i="6"/>
  <c r="K178" i="6"/>
  <c r="L178" i="6"/>
  <c r="M178" i="6"/>
  <c r="N178" i="6"/>
  <c r="G179" i="6"/>
  <c r="H179" i="6"/>
  <c r="I179" i="6"/>
  <c r="J179" i="6"/>
  <c r="K179" i="6"/>
  <c r="L179" i="6"/>
  <c r="M179" i="6"/>
  <c r="N179" i="6"/>
  <c r="G180" i="6"/>
  <c r="H180" i="6"/>
  <c r="I180" i="6"/>
  <c r="J180" i="6"/>
  <c r="K180" i="6"/>
  <c r="L180" i="6"/>
  <c r="M180" i="6"/>
  <c r="N180" i="6"/>
  <c r="G181" i="6"/>
  <c r="H181" i="6"/>
  <c r="I181" i="6"/>
  <c r="J181" i="6"/>
  <c r="K181" i="6"/>
  <c r="L181" i="6"/>
  <c r="M181" i="6"/>
  <c r="N181" i="6"/>
  <c r="G182" i="6"/>
  <c r="H182" i="6"/>
  <c r="I182" i="6"/>
  <c r="J182" i="6"/>
  <c r="K182" i="6"/>
  <c r="L182" i="6"/>
  <c r="M182" i="6"/>
  <c r="N182" i="6"/>
  <c r="G183" i="6"/>
  <c r="H183" i="6"/>
  <c r="I183" i="6"/>
  <c r="J183" i="6"/>
  <c r="K183" i="6"/>
  <c r="L183" i="6"/>
  <c r="M183" i="6"/>
  <c r="N183" i="6"/>
  <c r="G184" i="6"/>
  <c r="H184" i="6"/>
  <c r="I184" i="6"/>
  <c r="J184" i="6"/>
  <c r="K184" i="6"/>
  <c r="L184" i="6"/>
  <c r="M184" i="6"/>
  <c r="N184" i="6"/>
  <c r="G185" i="6"/>
  <c r="H185" i="6"/>
  <c r="I185" i="6"/>
  <c r="J185" i="6"/>
  <c r="K185" i="6"/>
  <c r="L185" i="6"/>
  <c r="M185" i="6"/>
  <c r="N185" i="6"/>
  <c r="G186" i="6"/>
  <c r="H186" i="6"/>
  <c r="I186" i="6"/>
  <c r="J186" i="6"/>
  <c r="K186" i="6"/>
  <c r="L186" i="6"/>
  <c r="M186" i="6"/>
  <c r="N186" i="6"/>
  <c r="G187" i="6"/>
  <c r="H187" i="6"/>
  <c r="I187" i="6"/>
  <c r="J187" i="6"/>
  <c r="K187" i="6"/>
  <c r="L187" i="6"/>
  <c r="M187" i="6"/>
  <c r="N187" i="6"/>
  <c r="G188" i="6"/>
  <c r="H188" i="6"/>
  <c r="I188" i="6"/>
  <c r="J188" i="6"/>
  <c r="K188" i="6"/>
  <c r="L188" i="6"/>
  <c r="M188" i="6"/>
  <c r="N188" i="6"/>
  <c r="G189" i="6"/>
  <c r="H189" i="6"/>
  <c r="I189" i="6"/>
  <c r="J189" i="6"/>
  <c r="K189" i="6"/>
  <c r="L189" i="6"/>
  <c r="M189" i="6"/>
  <c r="N189" i="6"/>
  <c r="G190" i="6"/>
  <c r="H190" i="6"/>
  <c r="I190" i="6"/>
  <c r="J190" i="6"/>
  <c r="K190" i="6"/>
  <c r="L190" i="6"/>
  <c r="M190" i="6"/>
  <c r="N190" i="6"/>
  <c r="G191" i="6"/>
  <c r="H191" i="6"/>
  <c r="I191" i="6"/>
  <c r="J191" i="6"/>
  <c r="K191" i="6"/>
  <c r="L191" i="6"/>
  <c r="M191" i="6"/>
  <c r="N191" i="6"/>
  <c r="G192" i="6"/>
  <c r="H192" i="6"/>
  <c r="I192" i="6"/>
  <c r="J192" i="6"/>
  <c r="K192" i="6"/>
  <c r="L192" i="6"/>
  <c r="M192" i="6"/>
  <c r="N192" i="6"/>
  <c r="G193" i="6"/>
  <c r="H193" i="6"/>
  <c r="I193" i="6"/>
  <c r="J193" i="6"/>
  <c r="K193" i="6"/>
  <c r="L193" i="6"/>
  <c r="M193" i="6"/>
  <c r="N193" i="6"/>
  <c r="G194" i="6"/>
  <c r="H194" i="6"/>
  <c r="I194" i="6"/>
  <c r="J194" i="6"/>
  <c r="K194" i="6"/>
  <c r="L194" i="6"/>
  <c r="M194" i="6"/>
  <c r="N194" i="6"/>
  <c r="R98" i="5" l="1"/>
  <c r="N297" i="5"/>
  <c r="R269" i="5"/>
  <c r="N217" i="5"/>
  <c r="M187" i="5"/>
  <c r="L156" i="5"/>
  <c r="L99" i="5"/>
  <c r="M67" i="5"/>
  <c r="N295" i="5"/>
  <c r="L217" i="5"/>
  <c r="O121" i="5"/>
  <c r="P280" i="5"/>
  <c r="R207" i="5"/>
  <c r="N120" i="5"/>
  <c r="Q281" i="5"/>
  <c r="N214" i="5"/>
  <c r="M121" i="5"/>
  <c r="N270" i="5"/>
  <c r="P201" i="5"/>
  <c r="N109" i="5"/>
  <c r="Q200" i="5"/>
  <c r="P101" i="5"/>
  <c r="N269" i="5"/>
  <c r="R190" i="5"/>
  <c r="L122" i="5"/>
  <c r="R260" i="5"/>
  <c r="Q260" i="5"/>
  <c r="N162" i="5"/>
  <c r="P260" i="5"/>
  <c r="O81" i="5"/>
  <c r="L260" i="5"/>
  <c r="N81" i="5"/>
  <c r="Q259" i="5"/>
  <c r="P80" i="5"/>
  <c r="N241" i="5"/>
  <c r="N139" i="5"/>
  <c r="L62" i="5"/>
  <c r="R242" i="5"/>
  <c r="L241" i="5"/>
  <c r="M139" i="5"/>
  <c r="O61" i="5"/>
  <c r="R229" i="5"/>
  <c r="L139" i="5"/>
  <c r="P19" i="5"/>
  <c r="O298" i="5"/>
  <c r="L229" i="5"/>
  <c r="O138" i="5"/>
  <c r="O19" i="5"/>
  <c r="N298" i="5"/>
  <c r="N220" i="5"/>
  <c r="M138" i="5"/>
  <c r="Q17" i="5"/>
  <c r="M298" i="5"/>
  <c r="N219" i="5"/>
  <c r="P17" i="5"/>
  <c r="P297" i="5"/>
  <c r="M219" i="5"/>
  <c r="M13" i="5"/>
  <c r="Q309" i="5"/>
  <c r="O272" i="5"/>
  <c r="P246" i="5"/>
  <c r="Q232" i="5"/>
  <c r="M191" i="5"/>
  <c r="Q177" i="5"/>
  <c r="O126" i="5"/>
  <c r="Q92" i="5"/>
  <c r="M73" i="5"/>
  <c r="P34" i="5"/>
  <c r="R49" i="5"/>
  <c r="R286" i="5"/>
  <c r="N272" i="5"/>
  <c r="O246" i="5"/>
  <c r="P232" i="5"/>
  <c r="L191" i="5"/>
  <c r="P177" i="5"/>
  <c r="O106" i="5"/>
  <c r="Q86" i="5"/>
  <c r="L73" i="5"/>
  <c r="O34" i="5"/>
  <c r="Q49" i="5"/>
  <c r="P307" i="5"/>
  <c r="N286" i="5"/>
  <c r="P206" i="5"/>
  <c r="M177" i="5"/>
  <c r="N106" i="5"/>
  <c r="O86" i="5"/>
  <c r="O71" i="5"/>
  <c r="L34" i="5"/>
  <c r="P49" i="5"/>
  <c r="L298" i="5"/>
  <c r="M286" i="5"/>
  <c r="M270" i="5"/>
  <c r="O260" i="5"/>
  <c r="P241" i="5"/>
  <c r="M230" i="5"/>
  <c r="P217" i="5"/>
  <c r="O206" i="5"/>
  <c r="N190" i="5"/>
  <c r="L177" i="5"/>
  <c r="L159" i="5"/>
  <c r="R138" i="5"/>
  <c r="R121" i="5"/>
  <c r="Q102" i="5"/>
  <c r="N86" i="5"/>
  <c r="R33" i="5"/>
  <c r="R306" i="5"/>
  <c r="R297" i="5"/>
  <c r="L286" i="5"/>
  <c r="N260" i="5"/>
  <c r="O241" i="5"/>
  <c r="O217" i="5"/>
  <c r="Q201" i="5"/>
  <c r="O187" i="5"/>
  <c r="P174" i="5"/>
  <c r="M158" i="5"/>
  <c r="P138" i="5"/>
  <c r="Q121" i="5"/>
  <c r="P102" i="5"/>
  <c r="M86" i="5"/>
  <c r="P67" i="5"/>
  <c r="Q306" i="5"/>
  <c r="R173" i="5"/>
  <c r="P157" i="5"/>
  <c r="O28" i="5"/>
  <c r="P306" i="5"/>
  <c r="O297" i="5"/>
  <c r="Q280" i="5"/>
  <c r="Q269" i="5"/>
  <c r="M241" i="5"/>
  <c r="O229" i="5"/>
  <c r="M217" i="5"/>
  <c r="L201" i="5"/>
  <c r="R186" i="5"/>
  <c r="P173" i="5"/>
  <c r="M157" i="5"/>
  <c r="N138" i="5"/>
  <c r="N28" i="5"/>
  <c r="R6" i="5"/>
  <c r="O306" i="5"/>
  <c r="P186" i="5"/>
  <c r="O173" i="5"/>
  <c r="M28" i="5"/>
  <c r="L280" i="5"/>
  <c r="L258" i="5"/>
  <c r="Q240" i="5"/>
  <c r="O186" i="5"/>
  <c r="P6" i="5"/>
  <c r="L306" i="5"/>
  <c r="M295" i="5"/>
  <c r="R279" i="5"/>
  <c r="R257" i="5"/>
  <c r="P240" i="5"/>
  <c r="Q213" i="5"/>
  <c r="N200" i="5"/>
  <c r="L173" i="5"/>
  <c r="R154" i="5"/>
  <c r="R133" i="5"/>
  <c r="O118" i="5"/>
  <c r="Q98" i="5"/>
  <c r="O80" i="5"/>
  <c r="N61" i="5"/>
  <c r="L24" i="5"/>
  <c r="M17" i="5"/>
  <c r="M306" i="5"/>
  <c r="P200" i="5"/>
  <c r="R301" i="5"/>
  <c r="Q279" i="5"/>
  <c r="R266" i="5"/>
  <c r="N257" i="5"/>
  <c r="O240" i="5"/>
  <c r="N226" i="5"/>
  <c r="P213" i="5"/>
  <c r="N168" i="5"/>
  <c r="Q154" i="5"/>
  <c r="Q133" i="5"/>
  <c r="N118" i="5"/>
  <c r="P98" i="5"/>
  <c r="N80" i="5"/>
  <c r="M61" i="5"/>
  <c r="N21" i="5"/>
  <c r="P312" i="5"/>
  <c r="N301" i="5"/>
  <c r="P294" i="5"/>
  <c r="P279" i="5"/>
  <c r="Q266" i="5"/>
  <c r="M257" i="5"/>
  <c r="Q238" i="5"/>
  <c r="M226" i="5"/>
  <c r="O213" i="5"/>
  <c r="Q199" i="5"/>
  <c r="Q181" i="5"/>
  <c r="M168" i="5"/>
  <c r="L151" i="5"/>
  <c r="P133" i="5"/>
  <c r="Q117" i="5"/>
  <c r="O98" i="5"/>
  <c r="L80" i="5"/>
  <c r="M21" i="5"/>
  <c r="O312" i="5"/>
  <c r="M301" i="5"/>
  <c r="O279" i="5"/>
  <c r="P266" i="5"/>
  <c r="L257" i="5"/>
  <c r="P238" i="5"/>
  <c r="L226" i="5"/>
  <c r="N213" i="5"/>
  <c r="P199" i="5"/>
  <c r="O181" i="5"/>
  <c r="R150" i="5"/>
  <c r="O117" i="5"/>
  <c r="M97" i="5"/>
  <c r="R79" i="5"/>
  <c r="Q58" i="5"/>
  <c r="N312" i="5"/>
  <c r="L301" i="5"/>
  <c r="P292" i="5"/>
  <c r="R278" i="5"/>
  <c r="N266" i="5"/>
  <c r="L256" i="5"/>
  <c r="L238" i="5"/>
  <c r="O222" i="5"/>
  <c r="M213" i="5"/>
  <c r="O199" i="5"/>
  <c r="N181" i="5"/>
  <c r="Q166" i="5"/>
  <c r="Q150" i="5"/>
  <c r="N132" i="5"/>
  <c r="P79" i="5"/>
  <c r="O58" i="5"/>
  <c r="R55" i="5"/>
  <c r="R12" i="5"/>
  <c r="M312" i="5"/>
  <c r="R300" i="5"/>
  <c r="N292" i="5"/>
  <c r="Q278" i="5"/>
  <c r="M266" i="5"/>
  <c r="P255" i="5"/>
  <c r="R237" i="5"/>
  <c r="N222" i="5"/>
  <c r="Q212" i="5"/>
  <c r="P197" i="5"/>
  <c r="M181" i="5"/>
  <c r="P166" i="5"/>
  <c r="P150" i="5"/>
  <c r="M132" i="5"/>
  <c r="R114" i="5"/>
  <c r="N79" i="5"/>
  <c r="N58" i="5"/>
  <c r="Q55" i="5"/>
  <c r="Q12" i="5"/>
  <c r="R311" i="5"/>
  <c r="Q300" i="5"/>
  <c r="M292" i="5"/>
  <c r="P278" i="5"/>
  <c r="L266" i="5"/>
  <c r="Q237" i="5"/>
  <c r="M222" i="5"/>
  <c r="M197" i="5"/>
  <c r="L180" i="5"/>
  <c r="O166" i="5"/>
  <c r="M150" i="5"/>
  <c r="R112" i="5"/>
  <c r="R93" i="5"/>
  <c r="O77" i="5"/>
  <c r="M58" i="5"/>
  <c r="O55" i="5"/>
  <c r="R11" i="5"/>
  <c r="Q311" i="5"/>
  <c r="O300" i="5"/>
  <c r="P291" i="5"/>
  <c r="P277" i="5"/>
  <c r="P264" i="5"/>
  <c r="P237" i="5"/>
  <c r="L222" i="5"/>
  <c r="Q194" i="5"/>
  <c r="R179" i="5"/>
  <c r="R162" i="5"/>
  <c r="R142" i="5"/>
  <c r="N127" i="5"/>
  <c r="N93" i="5"/>
  <c r="M77" i="5"/>
  <c r="R57" i="5"/>
  <c r="N55" i="5"/>
  <c r="N300" i="5"/>
  <c r="O277" i="5"/>
  <c r="R262" i="5"/>
  <c r="R248" i="5"/>
  <c r="O237" i="5"/>
  <c r="R209" i="5"/>
  <c r="M178" i="5"/>
  <c r="Q162" i="5"/>
  <c r="R141" i="5"/>
  <c r="R126" i="5"/>
  <c r="M111" i="5"/>
  <c r="M93" i="5"/>
  <c r="P74" i="5"/>
  <c r="Q50" i="5"/>
  <c r="N7" i="5"/>
  <c r="M300" i="5"/>
  <c r="P261" i="5"/>
  <c r="O248" i="5"/>
  <c r="M237" i="5"/>
  <c r="Q220" i="5"/>
  <c r="O209" i="5"/>
  <c r="M193" i="5"/>
  <c r="L178" i="5"/>
  <c r="P162" i="5"/>
  <c r="Q141" i="5"/>
  <c r="Q126" i="5"/>
  <c r="L111" i="5"/>
  <c r="L93" i="5"/>
  <c r="R34" i="5"/>
  <c r="P50" i="5"/>
  <c r="R309" i="5"/>
  <c r="L299" i="5"/>
  <c r="O289" i="5"/>
  <c r="O261" i="5"/>
  <c r="L237" i="5"/>
  <c r="O220" i="5"/>
  <c r="N209" i="5"/>
  <c r="R177" i="5"/>
  <c r="O162" i="5"/>
  <c r="O139" i="5"/>
  <c r="P126" i="5"/>
  <c r="Q34" i="5"/>
  <c r="L50" i="5"/>
  <c r="L26" i="5"/>
  <c r="M26" i="5"/>
  <c r="N26" i="5"/>
  <c r="O26" i="5"/>
  <c r="R26" i="5"/>
  <c r="Q26" i="5"/>
  <c r="P84" i="5"/>
  <c r="R105" i="5"/>
  <c r="M105" i="5"/>
  <c r="Q105" i="5"/>
  <c r="L25" i="5"/>
  <c r="Q25" i="5"/>
  <c r="O25" i="5"/>
  <c r="P25" i="5"/>
  <c r="R25" i="5"/>
  <c r="M25" i="5"/>
  <c r="L40" i="5"/>
  <c r="Q40" i="5"/>
  <c r="N40" i="5"/>
  <c r="O40" i="5"/>
  <c r="P40" i="5"/>
  <c r="R263" i="5"/>
  <c r="M167" i="5"/>
  <c r="O67" i="5"/>
  <c r="O41" i="5"/>
  <c r="P41" i="5"/>
  <c r="Q41" i="5"/>
  <c r="R41" i="5"/>
  <c r="L63" i="5"/>
  <c r="Q63" i="5"/>
  <c r="M63" i="5"/>
  <c r="N63" i="5"/>
  <c r="O63" i="5"/>
  <c r="P63" i="5"/>
  <c r="R63" i="5"/>
  <c r="M302" i="5"/>
  <c r="N302" i="5"/>
  <c r="O302" i="5"/>
  <c r="P302" i="5"/>
  <c r="Q302" i="5"/>
  <c r="R302" i="5"/>
  <c r="L302" i="5"/>
  <c r="M282" i="5"/>
  <c r="N282" i="5"/>
  <c r="O282" i="5"/>
  <c r="Q263" i="5"/>
  <c r="R85" i="5"/>
  <c r="L85" i="5"/>
  <c r="M85" i="5"/>
  <c r="N85" i="5"/>
  <c r="O85" i="5"/>
  <c r="P85" i="5"/>
  <c r="Q85" i="5"/>
  <c r="L163" i="5"/>
  <c r="R163" i="5"/>
  <c r="M163" i="5"/>
  <c r="N163" i="5"/>
  <c r="O163" i="5"/>
  <c r="P163" i="5"/>
  <c r="Q163" i="5"/>
  <c r="Q285" i="5"/>
  <c r="O263" i="5"/>
  <c r="R245" i="5"/>
  <c r="R65" i="5"/>
  <c r="P65" i="5"/>
  <c r="Q65" i="5"/>
  <c r="M65" i="5"/>
  <c r="L65" i="5"/>
  <c r="L143" i="5"/>
  <c r="N143" i="5"/>
  <c r="O143" i="5"/>
  <c r="P143" i="5"/>
  <c r="Q143" i="5"/>
  <c r="R143" i="5"/>
  <c r="O292" i="5"/>
  <c r="L263" i="5"/>
  <c r="Q245" i="5"/>
  <c r="N187" i="5"/>
  <c r="O65" i="5"/>
  <c r="L203" i="5"/>
  <c r="O203" i="5"/>
  <c r="R203" i="5"/>
  <c r="M203" i="5"/>
  <c r="N203" i="5"/>
  <c r="P203" i="5"/>
  <c r="P245" i="5"/>
  <c r="N65" i="5"/>
  <c r="R42" i="5"/>
  <c r="L42" i="5"/>
  <c r="M42" i="5"/>
  <c r="N42" i="5"/>
  <c r="O42" i="5"/>
  <c r="P42" i="5"/>
  <c r="Q42" i="5"/>
  <c r="L123" i="5"/>
  <c r="N123" i="5"/>
  <c r="O123" i="5"/>
  <c r="P123" i="5"/>
  <c r="Q123" i="5"/>
  <c r="R123" i="5"/>
  <c r="Q283" i="5"/>
  <c r="R276" i="5"/>
  <c r="M53" i="5"/>
  <c r="L53" i="5"/>
  <c r="N53" i="5"/>
  <c r="O53" i="5"/>
  <c r="P53" i="5"/>
  <c r="Q53" i="5"/>
  <c r="Q304" i="5"/>
  <c r="M283" i="5"/>
  <c r="Q276" i="5"/>
  <c r="R252" i="5"/>
  <c r="P244" i="5"/>
  <c r="Q46" i="5"/>
  <c r="Q15" i="5"/>
  <c r="O223" i="5"/>
  <c r="R223" i="5"/>
  <c r="N223" i="5"/>
  <c r="P223" i="5"/>
  <c r="Q223" i="5"/>
  <c r="M223" i="5"/>
  <c r="M37" i="5"/>
  <c r="L37" i="5"/>
  <c r="N37" i="5"/>
  <c r="P37" i="5"/>
  <c r="O37" i="5"/>
  <c r="Q37" i="5"/>
  <c r="R37" i="5"/>
  <c r="M52" i="5"/>
  <c r="N52" i="5"/>
  <c r="O52" i="5"/>
  <c r="P52" i="5"/>
  <c r="Q52" i="5"/>
  <c r="R52" i="5"/>
  <c r="L52" i="5"/>
  <c r="M14" i="5"/>
  <c r="L14" i="5"/>
  <c r="N14" i="5"/>
  <c r="O14" i="5"/>
  <c r="P14" i="5"/>
  <c r="Q14" i="5"/>
  <c r="R14" i="5"/>
  <c r="M304" i="5"/>
  <c r="P276" i="5"/>
  <c r="Q252" i="5"/>
  <c r="M244" i="5"/>
  <c r="P196" i="5"/>
  <c r="Q145" i="5"/>
  <c r="P15" i="5"/>
  <c r="L305" i="5"/>
  <c r="M305" i="5"/>
  <c r="N305" i="5"/>
  <c r="O305" i="5"/>
  <c r="P305" i="5"/>
  <c r="Q305" i="5"/>
  <c r="M263" i="5"/>
  <c r="N263" i="5"/>
  <c r="M123" i="5"/>
  <c r="P234" i="5"/>
  <c r="Q234" i="5"/>
  <c r="R234" i="5"/>
  <c r="R282" i="5"/>
  <c r="N276" i="5"/>
  <c r="P252" i="5"/>
  <c r="R225" i="5"/>
  <c r="P216" i="5"/>
  <c r="O196" i="5"/>
  <c r="P145" i="5"/>
  <c r="P105" i="5"/>
  <c r="P26" i="5"/>
  <c r="N41" i="5"/>
  <c r="N15" i="5"/>
  <c r="N253" i="5"/>
  <c r="O253" i="5"/>
  <c r="P253" i="5"/>
  <c r="Q253" i="5"/>
  <c r="R253" i="5"/>
  <c r="M253" i="5"/>
  <c r="R303" i="5"/>
  <c r="Q282" i="5"/>
  <c r="M267" i="5"/>
  <c r="O234" i="5"/>
  <c r="N196" i="5"/>
  <c r="O145" i="5"/>
  <c r="O105" i="5"/>
  <c r="N25" i="5"/>
  <c r="M41" i="5"/>
  <c r="Q284" i="5"/>
  <c r="L284" i="5"/>
  <c r="M284" i="5"/>
  <c r="N284" i="5"/>
  <c r="O284" i="5"/>
  <c r="P284" i="5"/>
  <c r="R284" i="5"/>
  <c r="M136" i="5"/>
  <c r="N136" i="5"/>
  <c r="O136" i="5"/>
  <c r="P136" i="5"/>
  <c r="Q136" i="5"/>
  <c r="L136" i="5"/>
  <c r="R136" i="5"/>
  <c r="M6" i="5"/>
  <c r="N6" i="5"/>
  <c r="O6" i="5"/>
  <c r="L6" i="5"/>
  <c r="L225" i="5"/>
  <c r="O225" i="5"/>
  <c r="P225" i="5"/>
  <c r="M204" i="5"/>
  <c r="N204" i="5"/>
  <c r="Q84" i="5"/>
  <c r="R84" i="5"/>
  <c r="L84" i="5"/>
  <c r="M84" i="5"/>
  <c r="N84" i="5"/>
  <c r="L183" i="5"/>
  <c r="P183" i="5"/>
  <c r="Q183" i="5"/>
  <c r="R183" i="5"/>
  <c r="M276" i="5"/>
  <c r="O276" i="5"/>
  <c r="M116" i="5"/>
  <c r="N116" i="5"/>
  <c r="O116" i="5"/>
  <c r="P116" i="5"/>
  <c r="Q116" i="5"/>
  <c r="L116" i="5"/>
  <c r="R116" i="5"/>
  <c r="Q295" i="5"/>
  <c r="R295" i="5"/>
  <c r="N215" i="5"/>
  <c r="L215" i="5"/>
  <c r="M215" i="5"/>
  <c r="O215" i="5"/>
  <c r="P215" i="5"/>
  <c r="Q215" i="5"/>
  <c r="R215" i="5"/>
  <c r="M95" i="5"/>
  <c r="P95" i="5"/>
  <c r="Q95" i="5"/>
  <c r="R95" i="5"/>
  <c r="L95" i="5"/>
  <c r="N95" i="5"/>
  <c r="O95" i="5"/>
  <c r="P254" i="5"/>
  <c r="Q254" i="5"/>
  <c r="R254" i="5"/>
  <c r="L254" i="5"/>
  <c r="M254" i="5"/>
  <c r="O254" i="5"/>
  <c r="L312" i="5"/>
  <c r="R312" i="5"/>
  <c r="Q303" i="5"/>
  <c r="P282" i="5"/>
  <c r="L311" i="5"/>
  <c r="M311" i="5"/>
  <c r="N311" i="5"/>
  <c r="O311" i="5"/>
  <c r="L291" i="5"/>
  <c r="M291" i="5"/>
  <c r="N291" i="5"/>
  <c r="Q291" i="5"/>
  <c r="R291" i="5"/>
  <c r="O271" i="5"/>
  <c r="P271" i="5"/>
  <c r="Q271" i="5"/>
  <c r="R271" i="5"/>
  <c r="L271" i="5"/>
  <c r="N271" i="5"/>
  <c r="L251" i="5"/>
  <c r="M251" i="5"/>
  <c r="N251" i="5"/>
  <c r="O251" i="5"/>
  <c r="P251" i="5"/>
  <c r="Q251" i="5"/>
  <c r="L231" i="5"/>
  <c r="Q231" i="5"/>
  <c r="R231" i="5"/>
  <c r="M231" i="5"/>
  <c r="N231" i="5"/>
  <c r="P231" i="5"/>
  <c r="P211" i="5"/>
  <c r="Q211" i="5"/>
  <c r="R211" i="5"/>
  <c r="L211" i="5"/>
  <c r="M211" i="5"/>
  <c r="N211" i="5"/>
  <c r="O211" i="5"/>
  <c r="P191" i="5"/>
  <c r="N191" i="5"/>
  <c r="R191" i="5"/>
  <c r="P171" i="5"/>
  <c r="L171" i="5"/>
  <c r="M171" i="5"/>
  <c r="N171" i="5"/>
  <c r="R171" i="5"/>
  <c r="P151" i="5"/>
  <c r="N151" i="5"/>
  <c r="O151" i="5"/>
  <c r="Q151" i="5"/>
  <c r="R151" i="5"/>
  <c r="P131" i="5"/>
  <c r="M131" i="5"/>
  <c r="N131" i="5"/>
  <c r="O131" i="5"/>
  <c r="Q131" i="5"/>
  <c r="R131" i="5"/>
  <c r="L131" i="5"/>
  <c r="P111" i="5"/>
  <c r="O111" i="5"/>
  <c r="Q111" i="5"/>
  <c r="R111" i="5"/>
  <c r="P91" i="5"/>
  <c r="L91" i="5"/>
  <c r="M91" i="5"/>
  <c r="N91" i="5"/>
  <c r="O91" i="5"/>
  <c r="Q91" i="5"/>
  <c r="R91" i="5"/>
  <c r="P71" i="5"/>
  <c r="L71" i="5"/>
  <c r="M71" i="5"/>
  <c r="Q71" i="5"/>
  <c r="R71" i="5"/>
  <c r="P33" i="5"/>
  <c r="M33" i="5"/>
  <c r="L33" i="5"/>
  <c r="N33" i="5"/>
  <c r="O33" i="5"/>
  <c r="P48" i="5"/>
  <c r="L48" i="5"/>
  <c r="M48" i="5"/>
  <c r="N48" i="5"/>
  <c r="O48" i="5"/>
  <c r="Q48" i="5"/>
  <c r="R48" i="5"/>
  <c r="P10" i="5"/>
  <c r="Q10" i="5"/>
  <c r="M10" i="5"/>
  <c r="N10" i="5"/>
  <c r="O10" i="5"/>
  <c r="R10" i="5"/>
  <c r="L10" i="5"/>
  <c r="P309" i="5"/>
  <c r="P303" i="5"/>
  <c r="N289" i="5"/>
  <c r="L282" i="5"/>
  <c r="O275" i="5"/>
  <c r="R251" i="5"/>
  <c r="M234" i="5"/>
  <c r="M225" i="5"/>
  <c r="P204" i="5"/>
  <c r="N183" i="5"/>
  <c r="L105" i="5"/>
  <c r="R40" i="5"/>
  <c r="L245" i="5"/>
  <c r="M245" i="5"/>
  <c r="N245" i="5"/>
  <c r="N304" i="5"/>
  <c r="O304" i="5"/>
  <c r="P304" i="5"/>
  <c r="R304" i="5"/>
  <c r="O144" i="5"/>
  <c r="P144" i="5"/>
  <c r="Q144" i="5"/>
  <c r="R144" i="5"/>
  <c r="L144" i="5"/>
  <c r="M144" i="5"/>
  <c r="N64" i="5"/>
  <c r="O64" i="5"/>
  <c r="P64" i="5"/>
  <c r="Q64" i="5"/>
  <c r="R64" i="5"/>
  <c r="L64" i="5"/>
  <c r="M64" i="5"/>
  <c r="L216" i="5"/>
  <c r="M216" i="5"/>
  <c r="N216" i="5"/>
  <c r="Q216" i="5"/>
  <c r="R216" i="5"/>
  <c r="L96" i="5"/>
  <c r="M96" i="5"/>
  <c r="O96" i="5"/>
  <c r="N96" i="5"/>
  <c r="P96" i="5"/>
  <c r="Q96" i="5"/>
  <c r="L255" i="5"/>
  <c r="M255" i="5"/>
  <c r="N255" i="5"/>
  <c r="Q255" i="5"/>
  <c r="R255" i="5"/>
  <c r="R115" i="5"/>
  <c r="M115" i="5"/>
  <c r="N115" i="5"/>
  <c r="O115" i="5"/>
  <c r="L294" i="5"/>
  <c r="M294" i="5"/>
  <c r="N294" i="5"/>
  <c r="Q294" i="5"/>
  <c r="R294" i="5"/>
  <c r="N293" i="5"/>
  <c r="P293" i="5"/>
  <c r="Q293" i="5"/>
  <c r="R293" i="5"/>
  <c r="L293" i="5"/>
  <c r="O293" i="5"/>
  <c r="Q292" i="5"/>
  <c r="R292" i="5"/>
  <c r="M252" i="5"/>
  <c r="N252" i="5"/>
  <c r="N234" i="5"/>
  <c r="N225" i="5"/>
  <c r="Q204" i="5"/>
  <c r="O183" i="5"/>
  <c r="N105" i="5"/>
  <c r="Q310" i="5"/>
  <c r="R310" i="5"/>
  <c r="L310" i="5"/>
  <c r="M310" i="5"/>
  <c r="N310" i="5"/>
  <c r="P310" i="5"/>
  <c r="O290" i="5"/>
  <c r="Q290" i="5"/>
  <c r="N290" i="5"/>
  <c r="P290" i="5"/>
  <c r="R290" i="5"/>
  <c r="M290" i="5"/>
  <c r="O270" i="5"/>
  <c r="Q270" i="5"/>
  <c r="P270" i="5"/>
  <c r="R270" i="5"/>
  <c r="O250" i="5"/>
  <c r="P250" i="5"/>
  <c r="Q250" i="5"/>
  <c r="R250" i="5"/>
  <c r="N250" i="5"/>
  <c r="M250" i="5"/>
  <c r="O230" i="5"/>
  <c r="P230" i="5"/>
  <c r="Q230" i="5"/>
  <c r="R230" i="5"/>
  <c r="N230" i="5"/>
  <c r="Q210" i="5"/>
  <c r="R210" i="5"/>
  <c r="L210" i="5"/>
  <c r="M210" i="5"/>
  <c r="N210" i="5"/>
  <c r="P210" i="5"/>
  <c r="L190" i="5"/>
  <c r="M190" i="5"/>
  <c r="P190" i="5"/>
  <c r="Q190" i="5"/>
  <c r="N170" i="5"/>
  <c r="Q170" i="5"/>
  <c r="R170" i="5"/>
  <c r="M170" i="5"/>
  <c r="O170" i="5"/>
  <c r="P170" i="5"/>
  <c r="L170" i="5"/>
  <c r="N150" i="5"/>
  <c r="O150" i="5"/>
  <c r="N130" i="5"/>
  <c r="O130" i="5"/>
  <c r="P130" i="5"/>
  <c r="Q130" i="5"/>
  <c r="R130" i="5"/>
  <c r="L130" i="5"/>
  <c r="M130" i="5"/>
  <c r="M110" i="5"/>
  <c r="N110" i="5"/>
  <c r="O110" i="5"/>
  <c r="P110" i="5"/>
  <c r="Q110" i="5"/>
  <c r="L110" i="5"/>
  <c r="Q90" i="5"/>
  <c r="R90" i="5"/>
  <c r="L90" i="5"/>
  <c r="M90" i="5"/>
  <c r="P90" i="5"/>
  <c r="L70" i="5"/>
  <c r="N70" i="5"/>
  <c r="O70" i="5"/>
  <c r="P70" i="5"/>
  <c r="Q70" i="5"/>
  <c r="R70" i="5"/>
  <c r="M70" i="5"/>
  <c r="L32" i="5"/>
  <c r="M32" i="5"/>
  <c r="N32" i="5"/>
  <c r="O32" i="5"/>
  <c r="P32" i="5"/>
  <c r="Q32" i="5"/>
  <c r="R32" i="5"/>
  <c r="Q47" i="5"/>
  <c r="R47" i="5"/>
  <c r="L47" i="5"/>
  <c r="M47" i="5"/>
  <c r="N47" i="5"/>
  <c r="O47" i="5"/>
  <c r="P47" i="5"/>
  <c r="L9" i="5"/>
  <c r="M9" i="5"/>
  <c r="N9" i="5"/>
  <c r="O9" i="5"/>
  <c r="P9" i="5"/>
  <c r="R9" i="5"/>
  <c r="Q9" i="5"/>
  <c r="O309" i="5"/>
  <c r="N303" i="5"/>
  <c r="M289" i="5"/>
  <c r="L250" i="5"/>
  <c r="L234" i="5"/>
  <c r="L223" i="5"/>
  <c r="O204" i="5"/>
  <c r="M183" i="5"/>
  <c r="M143" i="5"/>
  <c r="N90" i="5"/>
  <c r="M40" i="5"/>
  <c r="L285" i="5"/>
  <c r="O285" i="5"/>
  <c r="P285" i="5"/>
  <c r="N205" i="5"/>
  <c r="O205" i="5"/>
  <c r="P205" i="5"/>
  <c r="Q205" i="5"/>
  <c r="R205" i="5"/>
  <c r="M205" i="5"/>
  <c r="R145" i="5"/>
  <c r="L145" i="5"/>
  <c r="N145" i="5"/>
  <c r="Q264" i="5"/>
  <c r="M264" i="5"/>
  <c r="N264" i="5"/>
  <c r="O264" i="5"/>
  <c r="R264" i="5"/>
  <c r="N184" i="5"/>
  <c r="O184" i="5"/>
  <c r="P184" i="5"/>
  <c r="Q184" i="5"/>
  <c r="R184" i="5"/>
  <c r="L184" i="5"/>
  <c r="M184" i="5"/>
  <c r="M124" i="5"/>
  <c r="N124" i="5"/>
  <c r="O124" i="5"/>
  <c r="P124" i="5"/>
  <c r="Q124" i="5"/>
  <c r="L124" i="5"/>
  <c r="R124" i="5"/>
  <c r="N283" i="5"/>
  <c r="O283" i="5"/>
  <c r="P283" i="5"/>
  <c r="R283" i="5"/>
  <c r="L103" i="5"/>
  <c r="Q103" i="5"/>
  <c r="R103" i="5"/>
  <c r="O103" i="5"/>
  <c r="P103" i="5"/>
  <c r="M103" i="5"/>
  <c r="N103" i="5"/>
  <c r="M285" i="5"/>
  <c r="O296" i="5"/>
  <c r="P296" i="5"/>
  <c r="Q296" i="5"/>
  <c r="R296" i="5"/>
  <c r="L296" i="5"/>
  <c r="N296" i="5"/>
  <c r="M256" i="5"/>
  <c r="N256" i="5"/>
  <c r="O256" i="5"/>
  <c r="P256" i="5"/>
  <c r="Q256" i="5"/>
  <c r="N176" i="5"/>
  <c r="Q176" i="5"/>
  <c r="M176" i="5"/>
  <c r="L176" i="5"/>
  <c r="O176" i="5"/>
  <c r="P176" i="5"/>
  <c r="M56" i="5"/>
  <c r="N56" i="5"/>
  <c r="O56" i="5"/>
  <c r="P56" i="5"/>
  <c r="Q56" i="5"/>
  <c r="R56" i="5"/>
  <c r="L56" i="5"/>
  <c r="L275" i="5"/>
  <c r="M275" i="5"/>
  <c r="N275" i="5"/>
  <c r="Q275" i="5"/>
  <c r="R275" i="5"/>
  <c r="N235" i="5"/>
  <c r="O235" i="5"/>
  <c r="P235" i="5"/>
  <c r="Q235" i="5"/>
  <c r="R235" i="5"/>
  <c r="M235" i="5"/>
  <c r="O195" i="5"/>
  <c r="P195" i="5"/>
  <c r="Q195" i="5"/>
  <c r="R195" i="5"/>
  <c r="L195" i="5"/>
  <c r="M195" i="5"/>
  <c r="N155" i="5"/>
  <c r="O155" i="5"/>
  <c r="P155" i="5"/>
  <c r="Q155" i="5"/>
  <c r="R155" i="5"/>
  <c r="L155" i="5"/>
  <c r="M155" i="5"/>
  <c r="M75" i="5"/>
  <c r="N75" i="5"/>
  <c r="O75" i="5"/>
  <c r="P75" i="5"/>
  <c r="Q75" i="5"/>
  <c r="R75" i="5"/>
  <c r="L75" i="5"/>
  <c r="P274" i="5"/>
  <c r="Q274" i="5"/>
  <c r="R274" i="5"/>
  <c r="L274" i="5"/>
  <c r="M274" i="5"/>
  <c r="O274" i="5"/>
  <c r="P313" i="5"/>
  <c r="Q313" i="5"/>
  <c r="R313" i="5"/>
  <c r="L313" i="5"/>
  <c r="M313" i="5"/>
  <c r="O313" i="5"/>
  <c r="N273" i="5"/>
  <c r="P273" i="5"/>
  <c r="R273" i="5"/>
  <c r="L252" i="5"/>
  <c r="L41" i="5"/>
  <c r="L269" i="5"/>
  <c r="O269" i="5"/>
  <c r="P269" i="5"/>
  <c r="P249" i="5"/>
  <c r="Q249" i="5"/>
  <c r="R249" i="5"/>
  <c r="P229" i="5"/>
  <c r="M229" i="5"/>
  <c r="N229" i="5"/>
  <c r="M209" i="5"/>
  <c r="P209" i="5"/>
  <c r="L209" i="5"/>
  <c r="L189" i="5"/>
  <c r="M189" i="5"/>
  <c r="N189" i="5"/>
  <c r="O189" i="5"/>
  <c r="P189" i="5"/>
  <c r="Q189" i="5"/>
  <c r="R189" i="5"/>
  <c r="L169" i="5"/>
  <c r="M169" i="5"/>
  <c r="O169" i="5"/>
  <c r="N169" i="5"/>
  <c r="P169" i="5"/>
  <c r="Q169" i="5"/>
  <c r="R169" i="5"/>
  <c r="N149" i="5"/>
  <c r="O149" i="5"/>
  <c r="P149" i="5"/>
  <c r="Q149" i="5"/>
  <c r="R149" i="5"/>
  <c r="M149" i="5"/>
  <c r="L149" i="5"/>
  <c r="L129" i="5"/>
  <c r="M129" i="5"/>
  <c r="N129" i="5"/>
  <c r="P129" i="5"/>
  <c r="O129" i="5"/>
  <c r="Q129" i="5"/>
  <c r="R129" i="5"/>
  <c r="O109" i="5"/>
  <c r="M109" i="5"/>
  <c r="L109" i="5"/>
  <c r="Q109" i="5"/>
  <c r="R109" i="5"/>
  <c r="O89" i="5"/>
  <c r="N89" i="5"/>
  <c r="P89" i="5"/>
  <c r="Q89" i="5"/>
  <c r="R89" i="5"/>
  <c r="L89" i="5"/>
  <c r="M89" i="5"/>
  <c r="O69" i="5"/>
  <c r="L69" i="5"/>
  <c r="M69" i="5"/>
  <c r="N69" i="5"/>
  <c r="P69" i="5"/>
  <c r="Q69" i="5"/>
  <c r="R69" i="5"/>
  <c r="O31" i="5"/>
  <c r="R31" i="5"/>
  <c r="M31" i="5"/>
  <c r="N31" i="5"/>
  <c r="P31" i="5"/>
  <c r="Q31" i="5"/>
  <c r="L31" i="5"/>
  <c r="O46" i="5"/>
  <c r="R46" i="5"/>
  <c r="L46" i="5"/>
  <c r="M46" i="5"/>
  <c r="N46" i="5"/>
  <c r="O15" i="5"/>
  <c r="L15" i="5"/>
  <c r="R15" i="5"/>
  <c r="N309" i="5"/>
  <c r="M303" i="5"/>
  <c r="M296" i="5"/>
  <c r="Q273" i="5"/>
  <c r="O249" i="5"/>
  <c r="L204" i="5"/>
  <c r="Q127" i="5"/>
  <c r="R185" i="5"/>
  <c r="N185" i="5"/>
  <c r="Q185" i="5"/>
  <c r="M185" i="5"/>
  <c r="O185" i="5"/>
  <c r="P185" i="5"/>
  <c r="L185" i="5"/>
  <c r="O224" i="5"/>
  <c r="P224" i="5"/>
  <c r="Q224" i="5"/>
  <c r="R224" i="5"/>
  <c r="L224" i="5"/>
  <c r="M224" i="5"/>
  <c r="N224" i="5"/>
  <c r="R285" i="5"/>
  <c r="L196" i="5"/>
  <c r="Q196" i="5"/>
  <c r="R196" i="5"/>
  <c r="Q135" i="5"/>
  <c r="R135" i="5"/>
  <c r="L135" i="5"/>
  <c r="M135" i="5"/>
  <c r="N135" i="5"/>
  <c r="O135" i="5"/>
  <c r="P135" i="5"/>
  <c r="N233" i="5"/>
  <c r="O233" i="5"/>
  <c r="P233" i="5"/>
  <c r="Q233" i="5"/>
  <c r="R233" i="5"/>
  <c r="L233" i="5"/>
  <c r="L272" i="5"/>
  <c r="M272" i="5"/>
  <c r="P272" i="5"/>
  <c r="Q272" i="5"/>
  <c r="P289" i="5"/>
  <c r="Q289" i="5"/>
  <c r="R289" i="5"/>
  <c r="L308" i="5"/>
  <c r="M308" i="5"/>
  <c r="N308" i="5"/>
  <c r="O308" i="5"/>
  <c r="P308" i="5"/>
  <c r="L288" i="5"/>
  <c r="M288" i="5"/>
  <c r="P288" i="5"/>
  <c r="Q288" i="5"/>
  <c r="N268" i="5"/>
  <c r="O268" i="5"/>
  <c r="P268" i="5"/>
  <c r="Q268" i="5"/>
  <c r="R268" i="5"/>
  <c r="M268" i="5"/>
  <c r="L248" i="5"/>
  <c r="M248" i="5"/>
  <c r="P248" i="5"/>
  <c r="Q248" i="5"/>
  <c r="L228" i="5"/>
  <c r="M228" i="5"/>
  <c r="N228" i="5"/>
  <c r="O228" i="5"/>
  <c r="P228" i="5"/>
  <c r="Q228" i="5"/>
  <c r="O208" i="5"/>
  <c r="P208" i="5"/>
  <c r="Q208" i="5"/>
  <c r="R208" i="5"/>
  <c r="L208" i="5"/>
  <c r="M208" i="5"/>
  <c r="Q188" i="5"/>
  <c r="N188" i="5"/>
  <c r="R188" i="5"/>
  <c r="P188" i="5"/>
  <c r="O188" i="5"/>
  <c r="L188" i="5"/>
  <c r="M188" i="5"/>
  <c r="Q168" i="5"/>
  <c r="O168" i="5"/>
  <c r="P168" i="5"/>
  <c r="R168" i="5"/>
  <c r="Q148" i="5"/>
  <c r="M148" i="5"/>
  <c r="N148" i="5"/>
  <c r="O148" i="5"/>
  <c r="P148" i="5"/>
  <c r="R148" i="5"/>
  <c r="L148" i="5"/>
  <c r="Q128" i="5"/>
  <c r="M128" i="5"/>
  <c r="N128" i="5"/>
  <c r="O128" i="5"/>
  <c r="P128" i="5"/>
  <c r="R128" i="5"/>
  <c r="L128" i="5"/>
  <c r="Q108" i="5"/>
  <c r="M108" i="5"/>
  <c r="N108" i="5"/>
  <c r="O108" i="5"/>
  <c r="P108" i="5"/>
  <c r="R108" i="5"/>
  <c r="L108" i="5"/>
  <c r="Q88" i="5"/>
  <c r="L88" i="5"/>
  <c r="M88" i="5"/>
  <c r="N88" i="5"/>
  <c r="O88" i="5"/>
  <c r="P88" i="5"/>
  <c r="R88" i="5"/>
  <c r="Q68" i="5"/>
  <c r="R68" i="5"/>
  <c r="N68" i="5"/>
  <c r="O68" i="5"/>
  <c r="P68" i="5"/>
  <c r="L68" i="5"/>
  <c r="M68" i="5"/>
  <c r="Q30" i="5"/>
  <c r="P30" i="5"/>
  <c r="R30" i="5"/>
  <c r="L30" i="5"/>
  <c r="M30" i="5"/>
  <c r="N30" i="5"/>
  <c r="O30" i="5"/>
  <c r="Q45" i="5"/>
  <c r="L45" i="5"/>
  <c r="M45" i="5"/>
  <c r="N45" i="5"/>
  <c r="O45" i="5"/>
  <c r="P45" i="5"/>
  <c r="R45" i="5"/>
  <c r="Q8" i="5"/>
  <c r="R8" i="5"/>
  <c r="L8" i="5"/>
  <c r="M8" i="5"/>
  <c r="N8" i="5"/>
  <c r="O8" i="5"/>
  <c r="P8" i="5"/>
  <c r="L309" i="5"/>
  <c r="L303" i="5"/>
  <c r="P295" i="5"/>
  <c r="R288" i="5"/>
  <c r="O273" i="5"/>
  <c r="N249" i="5"/>
  <c r="Q203" i="5"/>
  <c r="Q171" i="5"/>
  <c r="Q115" i="5"/>
  <c r="L265" i="5"/>
  <c r="M265" i="5"/>
  <c r="N265" i="5"/>
  <c r="O265" i="5"/>
  <c r="P265" i="5"/>
  <c r="Q265" i="5"/>
  <c r="R265" i="5"/>
  <c r="R165" i="5"/>
  <c r="L165" i="5"/>
  <c r="M165" i="5"/>
  <c r="N165" i="5"/>
  <c r="P165" i="5"/>
  <c r="O165" i="5"/>
  <c r="Q165" i="5"/>
  <c r="R125" i="5"/>
  <c r="M125" i="5"/>
  <c r="N125" i="5"/>
  <c r="O125" i="5"/>
  <c r="P125" i="5"/>
  <c r="Q125" i="5"/>
  <c r="L125" i="5"/>
  <c r="R27" i="5"/>
  <c r="L27" i="5"/>
  <c r="M27" i="5"/>
  <c r="N27" i="5"/>
  <c r="O27" i="5"/>
  <c r="Q27" i="5"/>
  <c r="P27" i="5"/>
  <c r="Q244" i="5"/>
  <c r="R244" i="5"/>
  <c r="N244" i="5"/>
  <c r="O244" i="5"/>
  <c r="N164" i="5"/>
  <c r="O164" i="5"/>
  <c r="P164" i="5"/>
  <c r="Q164" i="5"/>
  <c r="R164" i="5"/>
  <c r="L164" i="5"/>
  <c r="M164" i="5"/>
  <c r="L104" i="5"/>
  <c r="M104" i="5"/>
  <c r="N104" i="5"/>
  <c r="O104" i="5"/>
  <c r="P104" i="5"/>
  <c r="Q104" i="5"/>
  <c r="R104" i="5"/>
  <c r="M243" i="5"/>
  <c r="N243" i="5"/>
  <c r="O243" i="5"/>
  <c r="P243" i="5"/>
  <c r="Q243" i="5"/>
  <c r="R243" i="5"/>
  <c r="L243" i="5"/>
  <c r="L83" i="5"/>
  <c r="Q83" i="5"/>
  <c r="M83" i="5"/>
  <c r="N83" i="5"/>
  <c r="P83" i="5"/>
  <c r="O83" i="5"/>
  <c r="R83" i="5"/>
  <c r="M236" i="5"/>
  <c r="N236" i="5"/>
  <c r="O236" i="5"/>
  <c r="P236" i="5"/>
  <c r="Q236" i="5"/>
  <c r="L236" i="5"/>
  <c r="O156" i="5"/>
  <c r="P156" i="5"/>
  <c r="Q156" i="5"/>
  <c r="R156" i="5"/>
  <c r="L76" i="5"/>
  <c r="O76" i="5"/>
  <c r="P76" i="5"/>
  <c r="Q76" i="5"/>
  <c r="R76" i="5"/>
  <c r="M76" i="5"/>
  <c r="N76" i="5"/>
  <c r="N175" i="5"/>
  <c r="O175" i="5"/>
  <c r="P175" i="5"/>
  <c r="Q175" i="5"/>
  <c r="R175" i="5"/>
  <c r="L175" i="5"/>
  <c r="M175" i="5"/>
  <c r="R307" i="5"/>
  <c r="M307" i="5"/>
  <c r="N307" i="5"/>
  <c r="O307" i="5"/>
  <c r="Q307" i="5"/>
  <c r="P287" i="5"/>
  <c r="R287" i="5"/>
  <c r="M287" i="5"/>
  <c r="N287" i="5"/>
  <c r="O287" i="5"/>
  <c r="Q287" i="5"/>
  <c r="L287" i="5"/>
  <c r="P267" i="5"/>
  <c r="R267" i="5"/>
  <c r="N267" i="5"/>
  <c r="O267" i="5"/>
  <c r="Q267" i="5"/>
  <c r="P247" i="5"/>
  <c r="Q247" i="5"/>
  <c r="R247" i="5"/>
  <c r="L247" i="5"/>
  <c r="M247" i="5"/>
  <c r="N247" i="5"/>
  <c r="O247" i="5"/>
  <c r="O227" i="5"/>
  <c r="P227" i="5"/>
  <c r="Q227" i="5"/>
  <c r="R227" i="5"/>
  <c r="N227" i="5"/>
  <c r="M227" i="5"/>
  <c r="L207" i="5"/>
  <c r="M207" i="5"/>
  <c r="N207" i="5"/>
  <c r="O207" i="5"/>
  <c r="P207" i="5"/>
  <c r="P187" i="5"/>
  <c r="Q187" i="5"/>
  <c r="R187" i="5"/>
  <c r="N167" i="5"/>
  <c r="O167" i="5"/>
  <c r="P167" i="5"/>
  <c r="Q167" i="5"/>
  <c r="R167" i="5"/>
  <c r="O147" i="5"/>
  <c r="P147" i="5"/>
  <c r="Q147" i="5"/>
  <c r="R147" i="5"/>
  <c r="L147" i="5"/>
  <c r="M147" i="5"/>
  <c r="N147" i="5"/>
  <c r="R127" i="5"/>
  <c r="L127" i="5"/>
  <c r="M127" i="5"/>
  <c r="L107" i="5"/>
  <c r="M107" i="5"/>
  <c r="N107" i="5"/>
  <c r="O107" i="5"/>
  <c r="P107" i="5"/>
  <c r="Q107" i="5"/>
  <c r="R107" i="5"/>
  <c r="R87" i="5"/>
  <c r="L87" i="5"/>
  <c r="M87" i="5"/>
  <c r="N87" i="5"/>
  <c r="O87" i="5"/>
  <c r="Q87" i="5"/>
  <c r="P87" i="5"/>
  <c r="L67" i="5"/>
  <c r="Q67" i="5"/>
  <c r="R67" i="5"/>
  <c r="L29" i="5"/>
  <c r="M29" i="5"/>
  <c r="N29" i="5"/>
  <c r="O29" i="5"/>
  <c r="P29" i="5"/>
  <c r="R29" i="5"/>
  <c r="P44" i="5"/>
  <c r="Q44" i="5"/>
  <c r="R44" i="5"/>
  <c r="L44" i="5"/>
  <c r="O44" i="5"/>
  <c r="M44" i="5"/>
  <c r="N44" i="5"/>
  <c r="R7" i="5"/>
  <c r="L7" i="5"/>
  <c r="O7" i="5"/>
  <c r="P7" i="5"/>
  <c r="Q7" i="5"/>
  <c r="R308" i="5"/>
  <c r="O295" i="5"/>
  <c r="O288" i="5"/>
  <c r="M273" i="5"/>
  <c r="M249" i="5"/>
  <c r="Q191" i="5"/>
  <c r="O171" i="5"/>
  <c r="N156" i="5"/>
  <c r="O127" i="5"/>
  <c r="P115" i="5"/>
  <c r="L16" i="5"/>
  <c r="M16" i="5"/>
  <c r="N16" i="5"/>
  <c r="P16" i="5"/>
  <c r="M299" i="5"/>
  <c r="N193" i="5"/>
  <c r="Q174" i="5"/>
  <c r="M24" i="5"/>
  <c r="R214" i="5"/>
  <c r="Q214" i="5"/>
  <c r="O194" i="5"/>
  <c r="N194" i="5"/>
  <c r="R194" i="5"/>
  <c r="O134" i="5"/>
  <c r="M134" i="5"/>
  <c r="N134" i="5"/>
  <c r="P134" i="5"/>
  <c r="Q134" i="5"/>
  <c r="R134" i="5"/>
  <c r="O94" i="5"/>
  <c r="M94" i="5"/>
  <c r="N94" i="5"/>
  <c r="P94" i="5"/>
  <c r="Q94" i="5"/>
  <c r="R94" i="5"/>
  <c r="O74" i="5"/>
  <c r="L74" i="5"/>
  <c r="N74" i="5"/>
  <c r="O36" i="5"/>
  <c r="P36" i="5"/>
  <c r="Q36" i="5"/>
  <c r="R36" i="5"/>
  <c r="O51" i="5"/>
  <c r="L51" i="5"/>
  <c r="M51" i="5"/>
  <c r="N51" i="5"/>
  <c r="P51" i="5"/>
  <c r="Q51" i="5"/>
  <c r="R51" i="5"/>
  <c r="O13" i="5"/>
  <c r="P13" i="5"/>
  <c r="Q13" i="5"/>
  <c r="R13" i="5"/>
  <c r="N13" i="5"/>
  <c r="Q301" i="5"/>
  <c r="R298" i="5"/>
  <c r="Q286" i="5"/>
  <c r="O280" i="5"/>
  <c r="N277" i="5"/>
  <c r="N261" i="5"/>
  <c r="Q257" i="5"/>
  <c r="N246" i="5"/>
  <c r="Q242" i="5"/>
  <c r="O238" i="5"/>
  <c r="R226" i="5"/>
  <c r="R222" i="5"/>
  <c r="L219" i="5"/>
  <c r="M214" i="5"/>
  <c r="M206" i="5"/>
  <c r="O201" i="5"/>
  <c r="L193" i="5"/>
  <c r="N174" i="5"/>
  <c r="M118" i="5"/>
  <c r="M106" i="5"/>
  <c r="Q93" i="5"/>
  <c r="M81" i="5"/>
  <c r="R61" i="5"/>
  <c r="R23" i="5"/>
  <c r="O50" i="5"/>
  <c r="R43" i="5"/>
  <c r="N19" i="5"/>
  <c r="N173" i="5"/>
  <c r="Q173" i="5"/>
  <c r="L153" i="5"/>
  <c r="M153" i="5"/>
  <c r="N153" i="5"/>
  <c r="P153" i="5"/>
  <c r="L133" i="5"/>
  <c r="N133" i="5"/>
  <c r="M113" i="5"/>
  <c r="N113" i="5"/>
  <c r="O113" i="5"/>
  <c r="P113" i="5"/>
  <c r="Q113" i="5"/>
  <c r="L113" i="5"/>
  <c r="O73" i="5"/>
  <c r="P73" i="5"/>
  <c r="Q73" i="5"/>
  <c r="R73" i="5"/>
  <c r="L35" i="5"/>
  <c r="M35" i="5"/>
  <c r="N35" i="5"/>
  <c r="O35" i="5"/>
  <c r="P35" i="5"/>
  <c r="Q35" i="5"/>
  <c r="R35" i="5"/>
  <c r="P301" i="5"/>
  <c r="Q298" i="5"/>
  <c r="P286" i="5"/>
  <c r="N280" i="5"/>
  <c r="M277" i="5"/>
  <c r="M261" i="5"/>
  <c r="P257" i="5"/>
  <c r="M246" i="5"/>
  <c r="N238" i="5"/>
  <c r="P226" i="5"/>
  <c r="Q222" i="5"/>
  <c r="L214" i="5"/>
  <c r="N201" i="5"/>
  <c r="O178" i="5"/>
  <c r="M174" i="5"/>
  <c r="R157" i="5"/>
  <c r="M146" i="5"/>
  <c r="Q139" i="5"/>
  <c r="L118" i="5"/>
  <c r="L106" i="5"/>
  <c r="N99" i="5"/>
  <c r="P93" i="5"/>
  <c r="R74" i="5"/>
  <c r="Q61" i="5"/>
  <c r="N36" i="5"/>
  <c r="Q23" i="5"/>
  <c r="N50" i="5"/>
  <c r="Q43" i="5"/>
  <c r="M19" i="5"/>
  <c r="L212" i="5"/>
  <c r="O212" i="5"/>
  <c r="M212" i="5"/>
  <c r="N212" i="5"/>
  <c r="M192" i="5"/>
  <c r="N192" i="5"/>
  <c r="O192" i="5"/>
  <c r="P192" i="5"/>
  <c r="Q192" i="5"/>
  <c r="L172" i="5"/>
  <c r="M172" i="5"/>
  <c r="N172" i="5"/>
  <c r="O172" i="5"/>
  <c r="P172" i="5"/>
  <c r="R172" i="5"/>
  <c r="N152" i="5"/>
  <c r="O152" i="5"/>
  <c r="P152" i="5"/>
  <c r="Q152" i="5"/>
  <c r="R152" i="5"/>
  <c r="L152" i="5"/>
  <c r="M152" i="5"/>
  <c r="O132" i="5"/>
  <c r="P132" i="5"/>
  <c r="Q132" i="5"/>
  <c r="R132" i="5"/>
  <c r="M112" i="5"/>
  <c r="N112" i="5"/>
  <c r="O112" i="5"/>
  <c r="P112" i="5"/>
  <c r="Q112" i="5"/>
  <c r="N92" i="5"/>
  <c r="L92" i="5"/>
  <c r="M92" i="5"/>
  <c r="P92" i="5"/>
  <c r="N72" i="5"/>
  <c r="L72" i="5"/>
  <c r="M72" i="5"/>
  <c r="O72" i="5"/>
  <c r="P72" i="5"/>
  <c r="Q72" i="5"/>
  <c r="R72" i="5"/>
  <c r="N49" i="5"/>
  <c r="O49" i="5"/>
  <c r="N11" i="5"/>
  <c r="L11" i="5"/>
  <c r="M11" i="5"/>
  <c r="O11" i="5"/>
  <c r="Q11" i="5"/>
  <c r="M280" i="5"/>
  <c r="L277" i="5"/>
  <c r="L261" i="5"/>
  <c r="L246" i="5"/>
  <c r="Q241" i="5"/>
  <c r="M238" i="5"/>
  <c r="O226" i="5"/>
  <c r="R217" i="5"/>
  <c r="R213" i="5"/>
  <c r="M201" i="5"/>
  <c r="L192" i="5"/>
  <c r="L174" i="5"/>
  <c r="P139" i="5"/>
  <c r="Q74" i="5"/>
  <c r="P61" i="5"/>
  <c r="M36" i="5"/>
  <c r="M50" i="5"/>
  <c r="Q16" i="5"/>
  <c r="N206" i="5"/>
  <c r="Q206" i="5"/>
  <c r="L186" i="5"/>
  <c r="M186" i="5"/>
  <c r="N146" i="5"/>
  <c r="O146" i="5"/>
  <c r="P146" i="5"/>
  <c r="Q146" i="5"/>
  <c r="R146" i="5"/>
  <c r="P86" i="5"/>
  <c r="R86" i="5"/>
  <c r="P66" i="5"/>
  <c r="L66" i="5"/>
  <c r="M66" i="5"/>
  <c r="N66" i="5"/>
  <c r="O66" i="5"/>
  <c r="P28" i="5"/>
  <c r="Q28" i="5"/>
  <c r="R28" i="5"/>
  <c r="P43" i="5"/>
  <c r="L43" i="5"/>
  <c r="M43" i="5"/>
  <c r="O43" i="5"/>
  <c r="P300" i="5"/>
  <c r="Q297" i="5"/>
  <c r="R240" i="5"/>
  <c r="R220" i="5"/>
  <c r="Q186" i="5"/>
  <c r="P181" i="5"/>
  <c r="O177" i="5"/>
  <c r="Q172" i="5"/>
  <c r="R166" i="5"/>
  <c r="M162" i="5"/>
  <c r="Q138" i="5"/>
  <c r="M133" i="5"/>
  <c r="O92" i="5"/>
  <c r="R66" i="5"/>
  <c r="M34" i="5"/>
  <c r="L49" i="5"/>
  <c r="O16" i="5"/>
  <c r="R232" i="5"/>
  <c r="R212" i="5"/>
  <c r="R102" i="5"/>
  <c r="L202" i="5"/>
  <c r="M202" i="5"/>
  <c r="N202" i="5"/>
  <c r="O202" i="5"/>
  <c r="P202" i="5"/>
  <c r="M122" i="5"/>
  <c r="N122" i="5"/>
  <c r="O122" i="5"/>
  <c r="P122" i="5"/>
  <c r="Q122" i="5"/>
  <c r="L82" i="5"/>
  <c r="M82" i="5"/>
  <c r="N82" i="5"/>
  <c r="P82" i="5"/>
  <c r="Q82" i="5"/>
  <c r="R82" i="5"/>
  <c r="O62" i="5"/>
  <c r="P62" i="5"/>
  <c r="Q62" i="5"/>
  <c r="R62" i="5"/>
  <c r="L39" i="5"/>
  <c r="M39" i="5"/>
  <c r="P39" i="5"/>
  <c r="M297" i="5"/>
  <c r="P281" i="5"/>
  <c r="O278" i="5"/>
  <c r="Q262" i="5"/>
  <c r="R258" i="5"/>
  <c r="N240" i="5"/>
  <c r="O232" i="5"/>
  <c r="M220" i="5"/>
  <c r="P198" i="5"/>
  <c r="M194" i="5"/>
  <c r="L181" i="5"/>
  <c r="N166" i="5"/>
  <c r="R159" i="5"/>
  <c r="P154" i="5"/>
  <c r="Q142" i="5"/>
  <c r="Q114" i="5"/>
  <c r="O102" i="5"/>
  <c r="Q39" i="5"/>
  <c r="L221" i="5"/>
  <c r="N221" i="5"/>
  <c r="O221" i="5"/>
  <c r="P221" i="5"/>
  <c r="Q221" i="5"/>
  <c r="R221" i="5"/>
  <c r="N161" i="5"/>
  <c r="O161" i="5"/>
  <c r="P161" i="5"/>
  <c r="Q161" i="5"/>
  <c r="R161" i="5"/>
  <c r="M161" i="5"/>
  <c r="L141" i="5"/>
  <c r="M141" i="5"/>
  <c r="N141" i="5"/>
  <c r="P141" i="5"/>
  <c r="L121" i="5"/>
  <c r="N121" i="5"/>
  <c r="L101" i="5"/>
  <c r="M101" i="5"/>
  <c r="N101" i="5"/>
  <c r="P81" i="5"/>
  <c r="Q81" i="5"/>
  <c r="R81" i="5"/>
  <c r="L23" i="5"/>
  <c r="M23" i="5"/>
  <c r="N23" i="5"/>
  <c r="P23" i="5"/>
  <c r="N38" i="5"/>
  <c r="O38" i="5"/>
  <c r="P38" i="5"/>
  <c r="Q38" i="5"/>
  <c r="R38" i="5"/>
  <c r="M38" i="5"/>
  <c r="R299" i="5"/>
  <c r="O281" i="5"/>
  <c r="N278" i="5"/>
  <c r="P262" i="5"/>
  <c r="Q258" i="5"/>
  <c r="M240" i="5"/>
  <c r="N232" i="5"/>
  <c r="L220" i="5"/>
  <c r="O198" i="5"/>
  <c r="L194" i="5"/>
  <c r="R180" i="5"/>
  <c r="M166" i="5"/>
  <c r="Q159" i="5"/>
  <c r="N154" i="5"/>
  <c r="P142" i="5"/>
  <c r="N126" i="5"/>
  <c r="R119" i="5"/>
  <c r="P114" i="5"/>
  <c r="N102" i="5"/>
  <c r="Q57" i="5"/>
  <c r="R24" i="5"/>
  <c r="O39" i="5"/>
  <c r="P12" i="5"/>
  <c r="N182" i="5"/>
  <c r="Q182" i="5"/>
  <c r="L182" i="5"/>
  <c r="M182" i="5"/>
  <c r="O182" i="5"/>
  <c r="P182" i="5"/>
  <c r="M200" i="5"/>
  <c r="O200" i="5"/>
  <c r="R200" i="5"/>
  <c r="M160" i="5"/>
  <c r="N160" i="5"/>
  <c r="O160" i="5"/>
  <c r="P160" i="5"/>
  <c r="Q160" i="5"/>
  <c r="R160" i="5"/>
  <c r="M140" i="5"/>
  <c r="N140" i="5"/>
  <c r="O140" i="5"/>
  <c r="P140" i="5"/>
  <c r="Q140" i="5"/>
  <c r="R140" i="5"/>
  <c r="L140" i="5"/>
  <c r="M120" i="5"/>
  <c r="O120" i="5"/>
  <c r="P120" i="5"/>
  <c r="Q120" i="5"/>
  <c r="R120" i="5"/>
  <c r="M100" i="5"/>
  <c r="R100" i="5"/>
  <c r="P100" i="5"/>
  <c r="Q100" i="5"/>
  <c r="L100" i="5"/>
  <c r="O100" i="5"/>
  <c r="M80" i="5"/>
  <c r="R80" i="5"/>
  <c r="M60" i="5"/>
  <c r="R60" i="5"/>
  <c r="L60" i="5"/>
  <c r="N60" i="5"/>
  <c r="O60" i="5"/>
  <c r="P60" i="5"/>
  <c r="M22" i="5"/>
  <c r="R22" i="5"/>
  <c r="N22" i="5"/>
  <c r="O22" i="5"/>
  <c r="P22" i="5"/>
  <c r="Q22" i="5"/>
  <c r="L22" i="5"/>
  <c r="M20" i="5"/>
  <c r="R20" i="5"/>
  <c r="L20" i="5"/>
  <c r="N20" i="5"/>
  <c r="O20" i="5"/>
  <c r="P20" i="5"/>
  <c r="Q20" i="5"/>
  <c r="Q299" i="5"/>
  <c r="N281" i="5"/>
  <c r="M278" i="5"/>
  <c r="O262" i="5"/>
  <c r="P258" i="5"/>
  <c r="M232" i="5"/>
  <c r="R219" i="5"/>
  <c r="N198" i="5"/>
  <c r="R193" i="5"/>
  <c r="Q180" i="5"/>
  <c r="P159" i="5"/>
  <c r="M154" i="5"/>
  <c r="O142" i="5"/>
  <c r="M126" i="5"/>
  <c r="N114" i="5"/>
  <c r="M102" i="5"/>
  <c r="P57" i="5"/>
  <c r="Q24" i="5"/>
  <c r="N39" i="5"/>
  <c r="O12" i="5"/>
  <c r="L242" i="5"/>
  <c r="M242" i="5"/>
  <c r="N242" i="5"/>
  <c r="O242" i="5"/>
  <c r="L279" i="5"/>
  <c r="N279" i="5"/>
  <c r="L259" i="5"/>
  <c r="M259" i="5"/>
  <c r="N259" i="5"/>
  <c r="O259" i="5"/>
  <c r="P259" i="5"/>
  <c r="L239" i="5"/>
  <c r="M239" i="5"/>
  <c r="N239" i="5"/>
  <c r="O239" i="5"/>
  <c r="P239" i="5"/>
  <c r="L199" i="5"/>
  <c r="M199" i="5"/>
  <c r="N199" i="5"/>
  <c r="N179" i="5"/>
  <c r="Q179" i="5"/>
  <c r="L179" i="5"/>
  <c r="M179" i="5"/>
  <c r="P179" i="5"/>
  <c r="M119" i="5"/>
  <c r="N119" i="5"/>
  <c r="O119" i="5"/>
  <c r="P119" i="5"/>
  <c r="Q119" i="5"/>
  <c r="O99" i="5"/>
  <c r="P99" i="5"/>
  <c r="Q99" i="5"/>
  <c r="R99" i="5"/>
  <c r="L79" i="5"/>
  <c r="M79" i="5"/>
  <c r="O79" i="5"/>
  <c r="N59" i="5"/>
  <c r="O59" i="5"/>
  <c r="P59" i="5"/>
  <c r="Q59" i="5"/>
  <c r="R59" i="5"/>
  <c r="L59" i="5"/>
  <c r="M59" i="5"/>
  <c r="O21" i="5"/>
  <c r="P21" i="5"/>
  <c r="Q21" i="5"/>
  <c r="R21" i="5"/>
  <c r="P299" i="5"/>
  <c r="M281" i="5"/>
  <c r="N262" i="5"/>
  <c r="O258" i="5"/>
  <c r="R239" i="5"/>
  <c r="Q219" i="5"/>
  <c r="R202" i="5"/>
  <c r="Q193" i="5"/>
  <c r="P180" i="5"/>
  <c r="O159" i="5"/>
  <c r="L154" i="5"/>
  <c r="N142" i="5"/>
  <c r="R118" i="5"/>
  <c r="M114" i="5"/>
  <c r="O57" i="5"/>
  <c r="P24" i="5"/>
  <c r="L38" i="5"/>
  <c r="N12" i="5"/>
  <c r="M218" i="5"/>
  <c r="L218" i="5"/>
  <c r="N218" i="5"/>
  <c r="O218" i="5"/>
  <c r="P218" i="5"/>
  <c r="Q218" i="5"/>
  <c r="Q198" i="5"/>
  <c r="R198" i="5"/>
  <c r="P178" i="5"/>
  <c r="Q178" i="5"/>
  <c r="R178" i="5"/>
  <c r="N158" i="5"/>
  <c r="O158" i="5"/>
  <c r="P158" i="5"/>
  <c r="Q158" i="5"/>
  <c r="R158" i="5"/>
  <c r="L98" i="5"/>
  <c r="M98" i="5"/>
  <c r="L78" i="5"/>
  <c r="O78" i="5"/>
  <c r="P78" i="5"/>
  <c r="Q78" i="5"/>
  <c r="R78" i="5"/>
  <c r="M78" i="5"/>
  <c r="N78" i="5"/>
  <c r="L58" i="5"/>
  <c r="R58" i="5"/>
  <c r="L55" i="5"/>
  <c r="M55" i="5"/>
  <c r="L18" i="5"/>
  <c r="M18" i="5"/>
  <c r="N18" i="5"/>
  <c r="O18" i="5"/>
  <c r="P18" i="5"/>
  <c r="Q18" i="5"/>
  <c r="R18" i="5"/>
  <c r="O299" i="5"/>
  <c r="L281" i="5"/>
  <c r="R277" i="5"/>
  <c r="L262" i="5"/>
  <c r="N258" i="5"/>
  <c r="R246" i="5"/>
  <c r="Q239" i="5"/>
  <c r="P219" i="5"/>
  <c r="Q202" i="5"/>
  <c r="L198" i="5"/>
  <c r="P193" i="5"/>
  <c r="O180" i="5"/>
  <c r="N159" i="5"/>
  <c r="R153" i="5"/>
  <c r="M142" i="5"/>
  <c r="Q118" i="5"/>
  <c r="L114" i="5"/>
  <c r="R106" i="5"/>
  <c r="R101" i="5"/>
  <c r="O24" i="5"/>
  <c r="R19" i="5"/>
  <c r="M12" i="5"/>
  <c r="N197" i="5"/>
  <c r="O197" i="5"/>
  <c r="R197" i="5"/>
  <c r="N157" i="5"/>
  <c r="L157" i="5"/>
  <c r="O157" i="5"/>
  <c r="N137" i="5"/>
  <c r="M137" i="5"/>
  <c r="O137" i="5"/>
  <c r="P137" i="5"/>
  <c r="Q137" i="5"/>
  <c r="R137" i="5"/>
  <c r="L137" i="5"/>
  <c r="N117" i="5"/>
  <c r="L117" i="5"/>
  <c r="M117" i="5"/>
  <c r="P117" i="5"/>
  <c r="N97" i="5"/>
  <c r="O97" i="5"/>
  <c r="P97" i="5"/>
  <c r="Q97" i="5"/>
  <c r="R97" i="5"/>
  <c r="N77" i="5"/>
  <c r="P77" i="5"/>
  <c r="Q77" i="5"/>
  <c r="R77" i="5"/>
  <c r="N57" i="5"/>
  <c r="L57" i="5"/>
  <c r="N54" i="5"/>
  <c r="L54" i="5"/>
  <c r="M54" i="5"/>
  <c r="O54" i="5"/>
  <c r="P54" i="5"/>
  <c r="Q54" i="5"/>
  <c r="R54" i="5"/>
  <c r="N17" i="5"/>
  <c r="O17" i="5"/>
  <c r="L17" i="5"/>
  <c r="Q261" i="5"/>
  <c r="P214" i="5"/>
  <c r="R206" i="5"/>
  <c r="Q197" i="5"/>
  <c r="N180" i="5"/>
  <c r="R174" i="5"/>
  <c r="Q153" i="5"/>
  <c r="R113" i="5"/>
  <c r="Q106" i="5"/>
  <c r="Q101" i="5"/>
  <c r="O82" i="5"/>
  <c r="N62" i="5"/>
  <c r="Q19" i="5"/>
  <c r="W9" i="5"/>
  <c r="W8" i="5"/>
  <c r="W7" i="5"/>
  <c r="W6" i="5"/>
  <c r="W5" i="5"/>
  <c r="D5" i="5"/>
  <c r="W4" i="5"/>
  <c r="W3" i="5"/>
  <c r="Q5" i="5" l="1"/>
  <c r="R5" i="5"/>
  <c r="L5" i="5"/>
  <c r="O5" i="5"/>
  <c r="N5" i="5"/>
  <c r="M5" i="5"/>
  <c r="P5" i="5"/>
  <c r="S264" i="5"/>
  <c r="S217" i="5"/>
  <c r="S298" i="5"/>
  <c r="S80" i="5"/>
  <c r="S278" i="5"/>
  <c r="S173" i="5"/>
  <c r="S177" i="5"/>
  <c r="S266" i="5"/>
  <c r="S306" i="5"/>
  <c r="S34" i="5"/>
  <c r="S241" i="5"/>
  <c r="S300" i="5"/>
  <c r="S180" i="5"/>
  <c r="S245" i="5"/>
  <c r="S134" i="5"/>
  <c r="S237" i="5"/>
  <c r="S24" i="5"/>
  <c r="S223" i="5"/>
  <c r="S28" i="5"/>
  <c r="S61" i="5"/>
  <c r="S256" i="5"/>
  <c r="S165" i="5"/>
  <c r="S138" i="5"/>
  <c r="S156" i="5"/>
  <c r="S192" i="5"/>
  <c r="S301" i="5"/>
  <c r="S18" i="5"/>
  <c r="S13" i="5"/>
  <c r="S126" i="5"/>
  <c r="S166" i="5"/>
  <c r="S213" i="5"/>
  <c r="S257" i="5"/>
  <c r="S244" i="5"/>
  <c r="S249" i="5"/>
  <c r="S304" i="5"/>
  <c r="S258" i="5"/>
  <c r="S280" i="5"/>
  <c r="S286" i="5"/>
  <c r="S206" i="5"/>
  <c r="S229" i="5"/>
  <c r="S230" i="5"/>
  <c r="S260" i="5"/>
  <c r="S120" i="5"/>
  <c r="S240" i="5"/>
  <c r="S93" i="5"/>
  <c r="S208" i="5"/>
  <c r="S268" i="5"/>
  <c r="S211" i="5"/>
  <c r="S140" i="5"/>
  <c r="S146" i="5"/>
  <c r="S104" i="5"/>
  <c r="S125" i="5"/>
  <c r="S265" i="5"/>
  <c r="S267" i="5"/>
  <c r="S112" i="5"/>
  <c r="S197" i="5"/>
  <c r="S38" i="5"/>
  <c r="S21" i="5"/>
  <c r="S31" i="5"/>
  <c r="S150" i="5"/>
  <c r="S12" i="5"/>
  <c r="S273" i="5"/>
  <c r="S119" i="5"/>
  <c r="S107" i="5"/>
  <c r="S17" i="5"/>
  <c r="S97" i="5"/>
  <c r="S50" i="5"/>
  <c r="S295" i="5"/>
  <c r="S109" i="5"/>
  <c r="S235" i="5"/>
  <c r="S90" i="5"/>
  <c r="S253" i="5"/>
  <c r="S36" i="5"/>
  <c r="S178" i="5"/>
  <c r="S227" i="5"/>
  <c r="S243" i="5"/>
  <c r="S151" i="5"/>
  <c r="S232" i="5"/>
  <c r="S187" i="5"/>
  <c r="S132" i="5"/>
  <c r="S168" i="5"/>
  <c r="S110" i="5"/>
  <c r="S214" i="5"/>
  <c r="S158" i="5"/>
  <c r="S82" i="5"/>
  <c r="S139" i="5"/>
  <c r="S222" i="5"/>
  <c r="S115" i="5"/>
  <c r="S161" i="5"/>
  <c r="S117" i="5"/>
  <c r="S142" i="5"/>
  <c r="S102" i="5"/>
  <c r="S20" i="5"/>
  <c r="S73" i="5"/>
  <c r="S81" i="5"/>
  <c r="S84" i="5"/>
  <c r="S292" i="5"/>
  <c r="S299" i="5"/>
  <c r="S68" i="5"/>
  <c r="S289" i="5"/>
  <c r="S162" i="5"/>
  <c r="S201" i="5"/>
  <c r="S236" i="5"/>
  <c r="S190" i="5"/>
  <c r="S111" i="5"/>
  <c r="S191" i="5"/>
  <c r="S276" i="5"/>
  <c r="S19" i="5"/>
  <c r="S200" i="5"/>
  <c r="S194" i="5"/>
  <c r="S122" i="5"/>
  <c r="S86" i="5"/>
  <c r="S94" i="5"/>
  <c r="S205" i="5"/>
  <c r="S270" i="5"/>
  <c r="S283" i="5"/>
  <c r="S62" i="5"/>
  <c r="S307" i="5"/>
  <c r="S99" i="5"/>
  <c r="S159" i="5"/>
  <c r="S226" i="5"/>
  <c r="S290" i="5"/>
  <c r="S77" i="5"/>
  <c r="S87" i="5"/>
  <c r="S297" i="5"/>
  <c r="S238" i="5"/>
  <c r="S167" i="5"/>
  <c r="S209" i="5"/>
  <c r="S160" i="5"/>
  <c r="S74" i="5"/>
  <c r="S148" i="5"/>
  <c r="S89" i="5"/>
  <c r="S313" i="5"/>
  <c r="S275" i="5"/>
  <c r="S296" i="5"/>
  <c r="S231" i="5"/>
  <c r="S54" i="5"/>
  <c r="S55" i="5"/>
  <c r="S79" i="5"/>
  <c r="S66" i="5"/>
  <c r="S174" i="5"/>
  <c r="S152" i="5"/>
  <c r="S212" i="5"/>
  <c r="S127" i="5"/>
  <c r="S287" i="5"/>
  <c r="S164" i="5"/>
  <c r="S185" i="5"/>
  <c r="S56" i="5"/>
  <c r="S145" i="5"/>
  <c r="S234" i="5"/>
  <c r="S64" i="5"/>
  <c r="S311" i="5"/>
  <c r="S183" i="5"/>
  <c r="S22" i="5"/>
  <c r="S23" i="5"/>
  <c r="S113" i="5"/>
  <c r="S29" i="5"/>
  <c r="S207" i="5"/>
  <c r="S46" i="5"/>
  <c r="S124" i="5"/>
  <c r="S250" i="5"/>
  <c r="S105" i="5"/>
  <c r="S91" i="5"/>
  <c r="S42" i="5"/>
  <c r="S57" i="5"/>
  <c r="S198" i="5"/>
  <c r="S58" i="5"/>
  <c r="S239" i="5"/>
  <c r="S45" i="5"/>
  <c r="S288" i="5"/>
  <c r="S171" i="5"/>
  <c r="S63" i="5"/>
  <c r="S25" i="5"/>
  <c r="S37" i="5"/>
  <c r="S193" i="5"/>
  <c r="S76" i="5"/>
  <c r="S108" i="5"/>
  <c r="S135" i="5"/>
  <c r="S274" i="5"/>
  <c r="S32" i="5"/>
  <c r="S130" i="5"/>
  <c r="S255" i="5"/>
  <c r="S251" i="5"/>
  <c r="S53" i="5"/>
  <c r="S218" i="5"/>
  <c r="S7" i="5"/>
  <c r="S30" i="5"/>
  <c r="S308" i="5"/>
  <c r="S210" i="5"/>
  <c r="S293" i="5"/>
  <c r="S144" i="5"/>
  <c r="S131" i="5"/>
  <c r="S271" i="5"/>
  <c r="S254" i="5"/>
  <c r="S143" i="5"/>
  <c r="S182" i="5"/>
  <c r="S246" i="5"/>
  <c r="S92" i="5"/>
  <c r="S133" i="5"/>
  <c r="S303" i="5"/>
  <c r="S228" i="5"/>
  <c r="S184" i="5"/>
  <c r="S282" i="5"/>
  <c r="S33" i="5"/>
  <c r="S116" i="5"/>
  <c r="S284" i="5"/>
  <c r="S65" i="5"/>
  <c r="S261" i="5"/>
  <c r="S219" i="5"/>
  <c r="S309" i="5"/>
  <c r="S269" i="5"/>
  <c r="S75" i="5"/>
  <c r="S176" i="5"/>
  <c r="S14" i="5"/>
  <c r="S163" i="5"/>
  <c r="S302" i="5"/>
  <c r="S202" i="5"/>
  <c r="S121" i="5"/>
  <c r="S196" i="5"/>
  <c r="S204" i="5"/>
  <c r="S169" i="5"/>
  <c r="S41" i="5"/>
  <c r="S285" i="5"/>
  <c r="S225" i="5"/>
  <c r="S195" i="5"/>
  <c r="S281" i="5"/>
  <c r="S118" i="5"/>
  <c r="S247" i="5"/>
  <c r="S188" i="5"/>
  <c r="S252" i="5"/>
  <c r="S9" i="5"/>
  <c r="S96" i="5"/>
  <c r="S6" i="5"/>
  <c r="S52" i="5"/>
  <c r="S203" i="5"/>
  <c r="S220" i="5"/>
  <c r="S72" i="5"/>
  <c r="S259" i="5"/>
  <c r="S248" i="5"/>
  <c r="S70" i="5"/>
  <c r="S10" i="5"/>
  <c r="S39" i="5"/>
  <c r="S279" i="5"/>
  <c r="S179" i="5"/>
  <c r="S43" i="5"/>
  <c r="S128" i="5"/>
  <c r="S175" i="5"/>
  <c r="S170" i="5"/>
  <c r="S95" i="5"/>
  <c r="S83" i="5"/>
  <c r="S88" i="5"/>
  <c r="S312" i="5"/>
  <c r="S101" i="5"/>
  <c r="S106" i="5"/>
  <c r="S16" i="5"/>
  <c r="S44" i="5"/>
  <c r="S242" i="5"/>
  <c r="S141" i="5"/>
  <c r="S49" i="5"/>
  <c r="S8" i="5"/>
  <c r="S272" i="5"/>
  <c r="S103" i="5"/>
  <c r="S310" i="5"/>
  <c r="S71" i="5"/>
  <c r="S305" i="5"/>
  <c r="S67" i="5"/>
  <c r="S262" i="5"/>
  <c r="S277" i="5"/>
  <c r="S59" i="5"/>
  <c r="S11" i="5"/>
  <c r="S233" i="5"/>
  <c r="S224" i="5"/>
  <c r="S123" i="5"/>
  <c r="S26" i="5"/>
  <c r="S48" i="5"/>
  <c r="S157" i="5"/>
  <c r="S186" i="5"/>
  <c r="S172" i="5"/>
  <c r="S51" i="5"/>
  <c r="S114" i="5"/>
  <c r="S35" i="5"/>
  <c r="S27" i="5"/>
  <c r="S69" i="5"/>
  <c r="S129" i="5"/>
  <c r="S47" i="5"/>
  <c r="S294" i="5"/>
  <c r="S216" i="5"/>
  <c r="S291" i="5"/>
  <c r="S136" i="5"/>
  <c r="S263" i="5"/>
  <c r="S85" i="5"/>
  <c r="S40" i="5"/>
  <c r="S215" i="5"/>
  <c r="S147" i="5"/>
  <c r="S221" i="5"/>
  <c r="S78" i="5"/>
  <c r="S98" i="5"/>
  <c r="S60" i="5"/>
  <c r="S153" i="5"/>
  <c r="S154" i="5"/>
  <c r="S181" i="5"/>
  <c r="S137" i="5"/>
  <c r="S199" i="5"/>
  <c r="S100" i="5"/>
  <c r="S15" i="5"/>
  <c r="S149" i="5"/>
  <c r="S189" i="5"/>
  <c r="S155" i="5"/>
  <c r="S5" i="5" l="1"/>
</calcChain>
</file>

<file path=xl/sharedStrings.xml><?xml version="1.0" encoding="utf-8"?>
<sst xmlns="http://schemas.openxmlformats.org/spreadsheetml/2006/main" count="1107" uniqueCount="952">
  <si>
    <t>이름</t>
    <phoneticPr fontId="3" type="noConversion"/>
  </si>
  <si>
    <t>서동환</t>
  </si>
  <si>
    <t>유준일</t>
  </si>
  <si>
    <t>박가희</t>
  </si>
  <si>
    <t>박자민</t>
  </si>
  <si>
    <t>장예리</t>
  </si>
  <si>
    <t>이소희</t>
  </si>
  <si>
    <t>김수현</t>
  </si>
  <si>
    <t>류민지</t>
  </si>
  <si>
    <t>성다은</t>
  </si>
  <si>
    <t>박지원</t>
  </si>
  <si>
    <t>박소민</t>
  </si>
  <si>
    <t>오세훈</t>
  </si>
  <si>
    <t>오상준</t>
  </si>
  <si>
    <t>이다영</t>
  </si>
  <si>
    <t>안동환</t>
  </si>
  <si>
    <t>구민기</t>
  </si>
  <si>
    <t>김현정</t>
  </si>
  <si>
    <t>이승종</t>
  </si>
  <si>
    <t>장소영</t>
  </si>
  <si>
    <t>안세혁</t>
  </si>
  <si>
    <t>이상민</t>
  </si>
  <si>
    <t>맹현</t>
  </si>
  <si>
    <t>김미연</t>
  </si>
  <si>
    <t>최진경</t>
  </si>
  <si>
    <t>이초롱</t>
  </si>
  <si>
    <t>김도희</t>
  </si>
  <si>
    <t>박서현</t>
  </si>
  <si>
    <t>이원준</t>
  </si>
  <si>
    <t>박동빈</t>
  </si>
  <si>
    <t>이진영</t>
  </si>
  <si>
    <t>조용석</t>
  </si>
  <si>
    <t>김성모</t>
  </si>
  <si>
    <t>김지은</t>
  </si>
  <si>
    <t>차미정</t>
  </si>
  <si>
    <t>김동빈</t>
  </si>
  <si>
    <t>정상우</t>
  </si>
  <si>
    <t>김태훈</t>
  </si>
  <si>
    <t>이지혜</t>
  </si>
  <si>
    <t>박세련</t>
  </si>
  <si>
    <t>정호상</t>
  </si>
  <si>
    <t>김희진</t>
  </si>
  <si>
    <t>최현규</t>
  </si>
  <si>
    <t>민은정</t>
  </si>
  <si>
    <t>최가영</t>
  </si>
  <si>
    <t>김송희</t>
  </si>
  <si>
    <t>윤명옥</t>
  </si>
  <si>
    <t>이재현</t>
  </si>
  <si>
    <t>정재원</t>
  </si>
  <si>
    <t>조남규</t>
  </si>
  <si>
    <t>황현혜</t>
  </si>
  <si>
    <t>이수민</t>
  </si>
  <si>
    <t>이연정</t>
  </si>
  <si>
    <t>이상철</t>
  </si>
  <si>
    <t>강순호</t>
  </si>
  <si>
    <t>진윤걸</t>
  </si>
  <si>
    <t>신승연</t>
  </si>
  <si>
    <t>홍수정</t>
  </si>
  <si>
    <t>신현진</t>
  </si>
  <si>
    <t>박소연</t>
  </si>
  <si>
    <t>임거묵</t>
  </si>
  <si>
    <t>김지혜</t>
  </si>
  <si>
    <t>김혜민</t>
  </si>
  <si>
    <t>박지윤</t>
  </si>
  <si>
    <t>정하선</t>
  </si>
  <si>
    <t>이성욱</t>
  </si>
  <si>
    <t>이금주</t>
  </si>
  <si>
    <t>송세훈</t>
  </si>
  <si>
    <t>최재영</t>
  </si>
  <si>
    <t>김승효</t>
  </si>
  <si>
    <t>추지훈</t>
  </si>
  <si>
    <t>박현정</t>
  </si>
  <si>
    <t>윤미정</t>
  </si>
  <si>
    <t>조준호</t>
  </si>
  <si>
    <t>김동민</t>
  </si>
  <si>
    <t>여성익</t>
  </si>
  <si>
    <t>이현주</t>
  </si>
  <si>
    <t>강승연</t>
  </si>
  <si>
    <t>강민성</t>
  </si>
  <si>
    <t>백종희</t>
  </si>
  <si>
    <t>박시온</t>
  </si>
  <si>
    <t>김상엽</t>
  </si>
  <si>
    <t>박유진</t>
  </si>
  <si>
    <t>김현경</t>
  </si>
  <si>
    <t>정희경</t>
  </si>
  <si>
    <t>이준혁</t>
  </si>
  <si>
    <t>임지수</t>
  </si>
  <si>
    <t>양재승</t>
  </si>
  <si>
    <t>김상진</t>
  </si>
  <si>
    <t>양승희</t>
  </si>
  <si>
    <t>이나라</t>
  </si>
  <si>
    <t>차진호</t>
  </si>
  <si>
    <t>강지혜</t>
  </si>
  <si>
    <t>황연제</t>
  </si>
  <si>
    <t>이경민</t>
  </si>
  <si>
    <t>이승연</t>
  </si>
  <si>
    <t>이재철</t>
  </si>
  <si>
    <t>조윤경</t>
  </si>
  <si>
    <t>윤지호</t>
  </si>
  <si>
    <t>전준우</t>
  </si>
  <si>
    <t>최소영</t>
  </si>
  <si>
    <t>윤미진</t>
  </si>
  <si>
    <t>조순남</t>
  </si>
  <si>
    <t>김서현</t>
  </si>
  <si>
    <t>김평교</t>
  </si>
  <si>
    <t>정구용</t>
  </si>
  <si>
    <t>한동희</t>
  </si>
  <si>
    <t>백수정</t>
  </si>
  <si>
    <t>송효빈</t>
  </si>
  <si>
    <t>김선혜</t>
  </si>
  <si>
    <t>조은비</t>
  </si>
  <si>
    <t>김승희</t>
  </si>
  <si>
    <t>이창석</t>
  </si>
  <si>
    <t>이승주</t>
  </si>
  <si>
    <t>정보라</t>
  </si>
  <si>
    <t>이준호</t>
  </si>
  <si>
    <t>정수민</t>
  </si>
  <si>
    <t>이희선</t>
  </si>
  <si>
    <t>최예원</t>
  </si>
  <si>
    <t>지영경</t>
  </si>
  <si>
    <t>유종명</t>
  </si>
  <si>
    <t>박지민</t>
  </si>
  <si>
    <t>전소연</t>
  </si>
  <si>
    <t>김윤나</t>
  </si>
  <si>
    <t>이시원</t>
  </si>
  <si>
    <t>우제훈</t>
  </si>
  <si>
    <t>우유정</t>
  </si>
  <si>
    <t>최현찬</t>
  </si>
  <si>
    <t>전민수</t>
  </si>
  <si>
    <t>박지수</t>
  </si>
  <si>
    <t>김준형</t>
  </si>
  <si>
    <t>황병호</t>
  </si>
  <si>
    <t>이정민</t>
  </si>
  <si>
    <t>최규헌</t>
  </si>
  <si>
    <t>김리나</t>
  </si>
  <si>
    <t>전진성</t>
  </si>
  <si>
    <t>김유리</t>
  </si>
  <si>
    <t>김은지</t>
  </si>
  <si>
    <t>문성대</t>
  </si>
  <si>
    <t>최다은</t>
  </si>
  <si>
    <t>한영주</t>
  </si>
  <si>
    <t>이채하</t>
  </si>
  <si>
    <t>정낙민</t>
  </si>
  <si>
    <t>김하연</t>
  </si>
  <si>
    <t>김서윤</t>
  </si>
  <si>
    <t>이정훈</t>
  </si>
  <si>
    <t>이현우</t>
  </si>
  <si>
    <t>김동환</t>
  </si>
  <si>
    <t>임유라</t>
  </si>
  <si>
    <t>손형주</t>
  </si>
  <si>
    <t>김윤영</t>
  </si>
  <si>
    <t>박제연</t>
  </si>
  <si>
    <t>임현지</t>
  </si>
  <si>
    <t>이종화</t>
  </si>
  <si>
    <t>심규미</t>
  </si>
  <si>
    <t>이수미</t>
  </si>
  <si>
    <t>이호성</t>
  </si>
  <si>
    <t>이광민</t>
  </si>
  <si>
    <t>구현정</t>
  </si>
  <si>
    <t>최은주</t>
  </si>
  <si>
    <t>오승준</t>
  </si>
  <si>
    <t>이수연</t>
  </si>
  <si>
    <t>변현수</t>
  </si>
  <si>
    <t>노준호</t>
  </si>
  <si>
    <t>서범곤</t>
  </si>
  <si>
    <t>김준호</t>
  </si>
  <si>
    <t>홍승희</t>
  </si>
  <si>
    <t>이성은</t>
  </si>
  <si>
    <t>엄제윤</t>
  </si>
  <si>
    <t>문지수</t>
  </si>
  <si>
    <t>윤종목</t>
  </si>
  <si>
    <t>이주연</t>
  </si>
  <si>
    <t>황진호</t>
  </si>
  <si>
    <t>김영환</t>
  </si>
  <si>
    <t>이수행</t>
  </si>
  <si>
    <t>정근원</t>
  </si>
  <si>
    <t>박영선</t>
  </si>
  <si>
    <t>한영규</t>
  </si>
  <si>
    <t>오수훈</t>
  </si>
  <si>
    <t>이옥희</t>
  </si>
  <si>
    <t>이지수</t>
  </si>
  <si>
    <t>최종현</t>
  </si>
  <si>
    <t>최이삭</t>
  </si>
  <si>
    <t>김지영</t>
  </si>
  <si>
    <t>김연주</t>
  </si>
  <si>
    <t>신정미</t>
  </si>
  <si>
    <t>김민수</t>
  </si>
  <si>
    <t>이민정</t>
  </si>
  <si>
    <t>구간달성</t>
    <phoneticPr fontId="3" type="noConversion"/>
  </si>
  <si>
    <t>01079271992</t>
  </si>
  <si>
    <t>01024168843</t>
  </si>
  <si>
    <t>01062667163</t>
  </si>
  <si>
    <t>01033267475</t>
  </si>
  <si>
    <t>01042194914</t>
  </si>
  <si>
    <t>01027338936</t>
  </si>
  <si>
    <t>01094859695</t>
  </si>
  <si>
    <t>01066844589</t>
  </si>
  <si>
    <t>01029279218</t>
  </si>
  <si>
    <t>01087685824</t>
  </si>
  <si>
    <t>01020894759</t>
  </si>
  <si>
    <t>01074549229</t>
  </si>
  <si>
    <t>01074551980</t>
  </si>
  <si>
    <t>01031341531</t>
  </si>
  <si>
    <t>01065929022</t>
  </si>
  <si>
    <t>01094989823</t>
  </si>
  <si>
    <t>01083011145</t>
  </si>
  <si>
    <t>01093310873</t>
  </si>
  <si>
    <t>01049013169</t>
  </si>
  <si>
    <t>01022807858</t>
  </si>
  <si>
    <t>01029306445</t>
  </si>
  <si>
    <t>01041177989</t>
  </si>
  <si>
    <t>01099370290</t>
  </si>
  <si>
    <t>01030161987</t>
  </si>
  <si>
    <t>01039047043</t>
  </si>
  <si>
    <t>01042322460</t>
  </si>
  <si>
    <t>01042394199</t>
  </si>
  <si>
    <t>01023803799</t>
  </si>
  <si>
    <t>01033699448</t>
  </si>
  <si>
    <t>01073352427</t>
  </si>
  <si>
    <t>01066350582</t>
  </si>
  <si>
    <t>01091608572</t>
  </si>
  <si>
    <t>01051019084</t>
  </si>
  <si>
    <t>01035801115</t>
  </si>
  <si>
    <t>01065431836</t>
  </si>
  <si>
    <t>01086323224</t>
  </si>
  <si>
    <t>01076779196</t>
  </si>
  <si>
    <t>01076251164</t>
  </si>
  <si>
    <t>01043668200</t>
  </si>
  <si>
    <t>01041809584</t>
  </si>
  <si>
    <t>01040140301</t>
  </si>
  <si>
    <t>01050536331</t>
  </si>
  <si>
    <t>01050615949</t>
  </si>
  <si>
    <t>01092669704</t>
  </si>
  <si>
    <t>01091988075</t>
  </si>
  <si>
    <t>01062515465</t>
  </si>
  <si>
    <t>01048586621</t>
  </si>
  <si>
    <t>01050493393</t>
  </si>
  <si>
    <t>01066169747</t>
  </si>
  <si>
    <t>01032775876</t>
  </si>
  <si>
    <t>01031337315</t>
  </si>
  <si>
    <t>01022660877</t>
  </si>
  <si>
    <t>01051504023</t>
  </si>
  <si>
    <t>01091841138</t>
  </si>
  <si>
    <t>01076460201</t>
  </si>
  <si>
    <t>01020229487</t>
  </si>
  <si>
    <t>01053621051</t>
  </si>
  <si>
    <t>01042960021</t>
  </si>
  <si>
    <t>01081083035</t>
  </si>
  <si>
    <t>01099579023</t>
  </si>
  <si>
    <t>01033582486</t>
  </si>
  <si>
    <t>01050450927</t>
  </si>
  <si>
    <t>01041223677</t>
  </si>
  <si>
    <t>01026553857</t>
  </si>
  <si>
    <t>01040947821</t>
  </si>
  <si>
    <t>01064565338</t>
  </si>
  <si>
    <t>01090483075</t>
  </si>
  <si>
    <t>01033167210</t>
  </si>
  <si>
    <t>01087211126</t>
  </si>
  <si>
    <t>01085135031</t>
  </si>
  <si>
    <t>01090372486</t>
  </si>
  <si>
    <t>01040393947</t>
  </si>
  <si>
    <t>01073403460</t>
  </si>
  <si>
    <t>01026615816</t>
  </si>
  <si>
    <t>01025274575</t>
  </si>
  <si>
    <t>01032602668</t>
  </si>
  <si>
    <t>01093332624</t>
  </si>
  <si>
    <t>01071380872</t>
  </si>
  <si>
    <t>01092830999</t>
  </si>
  <si>
    <t>01031315462</t>
  </si>
  <si>
    <t>01063031581</t>
  </si>
  <si>
    <t>01064155280</t>
  </si>
  <si>
    <t>01089090709</t>
  </si>
  <si>
    <t>01087598723</t>
  </si>
  <si>
    <t>01093414046</t>
  </si>
  <si>
    <t>01068506999</t>
  </si>
  <si>
    <t>01092221923</t>
  </si>
  <si>
    <t>01028582296</t>
  </si>
  <si>
    <t>01071193246</t>
  </si>
  <si>
    <t>01040689199</t>
  </si>
  <si>
    <t>01029969124</t>
  </si>
  <si>
    <t>01056441125</t>
  </si>
  <si>
    <t>01051090898</t>
  </si>
  <si>
    <t>01091718327</t>
  </si>
  <si>
    <t>01068608735</t>
  </si>
  <si>
    <t>01055957199</t>
  </si>
  <si>
    <t>01093358722</t>
  </si>
  <si>
    <t>01032152412</t>
  </si>
  <si>
    <t>01049424182</t>
  </si>
  <si>
    <t>01080055081</t>
  </si>
  <si>
    <t>01033732657</t>
  </si>
  <si>
    <t>01048789184</t>
  </si>
  <si>
    <t>01067866362</t>
  </si>
  <si>
    <t>01056226302</t>
  </si>
  <si>
    <t>01063761290</t>
  </si>
  <si>
    <t>01042370822</t>
  </si>
  <si>
    <t>01047853784</t>
  </si>
  <si>
    <t>01020426685</t>
  </si>
  <si>
    <t>01043949959</t>
  </si>
  <si>
    <t>01072053719</t>
  </si>
  <si>
    <t>01091246810</t>
  </si>
  <si>
    <t>01083554987</t>
  </si>
  <si>
    <t>01098776364</t>
  </si>
  <si>
    <t>01050535075</t>
  </si>
  <si>
    <t>01087956903</t>
  </si>
  <si>
    <t>01087859604</t>
  </si>
  <si>
    <t>01084131315</t>
  </si>
  <si>
    <t>01037581901</t>
  </si>
  <si>
    <t>01034379412</t>
  </si>
  <si>
    <t>01098055066</t>
  </si>
  <si>
    <t>01040308871</t>
  </si>
  <si>
    <t>01067007638</t>
  </si>
  <si>
    <t>01044383632</t>
  </si>
  <si>
    <t>01094380343</t>
  </si>
  <si>
    <t>01055971925</t>
  </si>
  <si>
    <t>01034361108</t>
  </si>
  <si>
    <t>01040475991</t>
  </si>
  <si>
    <t>01067770309</t>
  </si>
  <si>
    <t>01083218331</t>
  </si>
  <si>
    <t>01095604929</t>
  </si>
  <si>
    <t>01026560463</t>
  </si>
  <si>
    <t>01084370610</t>
  </si>
  <si>
    <t>01047064287</t>
  </si>
  <si>
    <t>01038126433</t>
  </si>
  <si>
    <t>01076224960</t>
  </si>
  <si>
    <t>01022306029</t>
  </si>
  <si>
    <t>01042656581</t>
  </si>
  <si>
    <t>01041198453</t>
  </si>
  <si>
    <t>01071718626</t>
  </si>
  <si>
    <t>01023200760</t>
  </si>
  <si>
    <t>01064311335</t>
  </si>
  <si>
    <t>01092647894</t>
  </si>
  <si>
    <t>01052897402</t>
  </si>
  <si>
    <t>01066477990</t>
  </si>
  <si>
    <t>01088481980</t>
  </si>
  <si>
    <t>01066367015</t>
  </si>
  <si>
    <t>01040127340</t>
  </si>
  <si>
    <t>01059533229</t>
  </si>
  <si>
    <t>01051610743</t>
  </si>
  <si>
    <t>01027422316</t>
  </si>
  <si>
    <t>01054759294</t>
  </si>
  <si>
    <t>01022807239</t>
  </si>
  <si>
    <t>01071930298</t>
  </si>
  <si>
    <t>01095117036</t>
  </si>
  <si>
    <t>01047287138</t>
  </si>
  <si>
    <t>01087239538</t>
  </si>
  <si>
    <t>01079992904</t>
  </si>
  <si>
    <t>01022218120</t>
  </si>
  <si>
    <t>01047361424</t>
  </si>
  <si>
    <t>01032513012</t>
  </si>
  <si>
    <t>01028819337</t>
  </si>
  <si>
    <t>01055731561</t>
  </si>
  <si>
    <t>01027454610</t>
  </si>
  <si>
    <t>01075121858</t>
  </si>
  <si>
    <t>01063126870</t>
  </si>
  <si>
    <t>01072400178</t>
  </si>
  <si>
    <t>01094140803</t>
  </si>
  <si>
    <t>01088606764</t>
  </si>
  <si>
    <t>01071350713</t>
  </si>
  <si>
    <t>01047906375</t>
  </si>
  <si>
    <t>01045972579</t>
  </si>
  <si>
    <t>01045107063</t>
  </si>
  <si>
    <t>01093421504</t>
  </si>
  <si>
    <t>01092656257</t>
  </si>
  <si>
    <t>01048180337</t>
  </si>
  <si>
    <t>01049148220</t>
  </si>
  <si>
    <t>01044575744</t>
  </si>
  <si>
    <t>01026347009</t>
  </si>
  <si>
    <t>01090954511</t>
  </si>
  <si>
    <t>01026430468</t>
  </si>
  <si>
    <t>01095734587</t>
  </si>
  <si>
    <t>01085024108</t>
  </si>
  <si>
    <t>01063501433</t>
  </si>
  <si>
    <t>01024589722</t>
  </si>
  <si>
    <t>01038684854</t>
  </si>
  <si>
    <t>01072701397</t>
  </si>
  <si>
    <t>01042298624</t>
  </si>
  <si>
    <t>01088026763</t>
  </si>
  <si>
    <t>01088541493</t>
  </si>
  <si>
    <t>휴대폰번호</t>
    <phoneticPr fontId="3" type="noConversion"/>
  </si>
  <si>
    <t>합계</t>
    <phoneticPr fontId="3" type="noConversion"/>
  </si>
  <si>
    <t>구분</t>
    <phoneticPr fontId="3" type="noConversion"/>
  </si>
  <si>
    <t>누적</t>
    <phoneticPr fontId="3" type="noConversion"/>
  </si>
  <si>
    <t>■ 우리카드 구간포상 이벤트_202601</t>
    <phoneticPr fontId="3" type="noConversion"/>
  </si>
  <si>
    <t>대한항공 기프트카드 50만원권*4매</t>
    <phoneticPr fontId="3" type="noConversion"/>
  </si>
  <si>
    <t>허먼밀러 뉴 에어론 체어 (세부 스펙 협의)</t>
    <phoneticPr fontId="3" type="noConversion"/>
  </si>
  <si>
    <t>호텔외식 상품권 50만원권 (잔액 관리형) *4매</t>
    <phoneticPr fontId="3" type="noConversion"/>
  </si>
  <si>
    <t>갤럭시 북5 프로 (35.6cm) Core™ Ultra 5 / 512GB NVMe SSD, Copilot+ PC</t>
  </si>
  <si>
    <t>아이폰 에어 자급제 1TB</t>
    <phoneticPr fontId="3" type="noConversion"/>
  </si>
  <si>
    <t>LG 그램 16</t>
  </si>
  <si>
    <t>200만원 상당</t>
  </si>
  <si>
    <t>신세계 이마트 상품권 200만원</t>
  </si>
  <si>
    <t>대한항공 기프트카드 50만원권*2매</t>
    <phoneticPr fontId="3" type="noConversion"/>
  </si>
  <si>
    <t>티쏘 르로끌 파워매틱 80 시계</t>
    <phoneticPr fontId="3" type="noConversion"/>
  </si>
  <si>
    <t>호텔외식 상품권 50만원권 (잔액 관리형) *2매</t>
    <phoneticPr fontId="3" type="noConversion"/>
  </si>
  <si>
    <t>갤럭시 탭 S11 (Wi-Fi)</t>
  </si>
  <si>
    <t>애플워치 11 GPS + Cellular, 46mm, 티타늄 케이스</t>
    <phoneticPr fontId="3" type="noConversion"/>
  </si>
  <si>
    <t>샤크 에보파워 시스템 부스트+ LC751KRLV</t>
  </si>
  <si>
    <t>100만원 상당</t>
    <phoneticPr fontId="3" type="noConversion"/>
  </si>
  <si>
    <t>네이버페이 포인트 100만원</t>
  </si>
  <si>
    <t>시디즈 컴퓨터 의자 T80</t>
    <phoneticPr fontId="3" type="noConversion"/>
  </si>
  <si>
    <t>신세계 이마트 상품권 60만원</t>
  </si>
  <si>
    <t>신라호텔 디럭스룸 초대권</t>
    <phoneticPr fontId="3" type="noConversion"/>
  </si>
  <si>
    <t>다이슨 슈퍼소닉 뉴럴 헤어 드라이기</t>
  </si>
  <si>
    <t>애플워치 11 GPS, 42mm, 알루미늄 케이스</t>
    <phoneticPr fontId="3" type="noConversion"/>
  </si>
  <si>
    <t>삼성 비스포크 제트 VS20C954AQB</t>
  </si>
  <si>
    <t>60만원 상당</t>
    <phoneticPr fontId="3" type="noConversion"/>
  </si>
  <si>
    <t>네이버페이 포인트 60만원</t>
  </si>
  <si>
    <t>미닉스 음식물 처리기 더플렌더 Basic</t>
  </si>
  <si>
    <t>삼성전자 갤럭시 워치8 블루투스 40mm</t>
    <phoneticPr fontId="3" type="noConversion"/>
  </si>
  <si>
    <t>에어팟 프로 3</t>
  </si>
  <si>
    <t>LG전자 코드제로 A5 AS520WA</t>
  </si>
  <si>
    <t>르라보 향수 100ml (향 선택)</t>
    <phoneticPr fontId="3" type="noConversion"/>
  </si>
  <si>
    <t>우마왕 최상급 한우 선물 세트 1++ No9 2kg</t>
    <phoneticPr fontId="3" type="noConversion"/>
  </si>
  <si>
    <t>40만원 상당</t>
  </si>
  <si>
    <t>신세계 이마트 상품권 40만원</t>
  </si>
  <si>
    <t>풀리오 목 어깨 마사지기 V3</t>
  </si>
  <si>
    <t>닌자 프로페셔널 블렌더 2.0 BR201KR</t>
  </si>
  <si>
    <t>스메그 미니 전기포트</t>
  </si>
  <si>
    <t>네스프레소 버츄오 플러스 캡슐커피머신</t>
  </si>
  <si>
    <t>에어팟 4 블루투스 이어폰 유선충전</t>
  </si>
  <si>
    <t>로지텍 MX Master 4 무선마우스</t>
  </si>
  <si>
    <t>20만원 상당</t>
  </si>
  <si>
    <t>신세계 이마트 상품권 20만원</t>
  </si>
  <si>
    <t>브리츠 BZ-MQ3 레트로 엔틱 블루투스 스피커</t>
  </si>
  <si>
    <t>일리 Y3.3 캡슐커피머신</t>
  </si>
  <si>
    <t>네스카페 돌체구스토 지니오S 터치</t>
  </si>
  <si>
    <t>풀리오 목 어깨 마사지기 V2</t>
  </si>
  <si>
    <t>쿠첸 전자식 에어프라이어 5L</t>
  </si>
  <si>
    <t>신세계 이마트 상품권 10만원권</t>
  </si>
  <si>
    <t>10만원 상당</t>
  </si>
  <si>
    <t>쿠팡캐시 10만원권</t>
  </si>
  <si>
    <t>알로코리아 덴픽 구강세정기</t>
  </si>
  <si>
    <t>로지텍 시그니처 M650 무선 마우스</t>
  </si>
  <si>
    <t>로지텍 무선 텐키리스 키보드 K380S</t>
    <phoneticPr fontId="3" type="noConversion"/>
  </si>
  <si>
    <t>벨킨 5000mAh 맥세이프보조배터리</t>
  </si>
  <si>
    <t>오아 클린이스윙 전동칫솔</t>
  </si>
  <si>
    <t>루메나 듀얼 무선 미니가습기 H3 X</t>
  </si>
  <si>
    <t>5만원 상당</t>
    <phoneticPr fontId="3" type="noConversion"/>
  </si>
  <si>
    <t>스타벅스 e-기프트카드 5만원권</t>
  </si>
  <si>
    <t>할인후 가격</t>
    <phoneticPr fontId="3" type="noConversion"/>
  </si>
  <si>
    <t>할인율</t>
    <phoneticPr fontId="3" type="noConversion"/>
  </si>
  <si>
    <t>대상 예정</t>
    <phoneticPr fontId="3" type="noConversion"/>
  </si>
  <si>
    <t>가격대</t>
  </si>
  <si>
    <t>상품</t>
  </si>
  <si>
    <t>No.</t>
  </si>
  <si>
    <t>달성구간(社)</t>
  </si>
  <si>
    <t>■ 구간달성 포상 (상반기 기준)</t>
  </si>
  <si>
    <t>우리카드 기업영업기획팀 상품 제안</t>
    <phoneticPr fontId="3" type="noConversion"/>
  </si>
  <si>
    <t>[우리카드]</t>
    <phoneticPr fontId="3" type="noConversion"/>
  </si>
  <si>
    <t>한번이 아니라 더더더 좋은걸로 계속드립니다!!</t>
    <phoneticPr fontId="3" type="noConversion"/>
  </si>
  <si>
    <t>법인사업자 기업카드 모집에 힘써주셔서 감사합니다.</t>
    <phoneticPr fontId="3" type="noConversion"/>
  </si>
  <si>
    <t>첨부된 url 통해 원하시는 상품 골라주세요!</t>
    <phoneticPr fontId="3" type="noConversion"/>
  </si>
  <si>
    <t>법인 신규모집 구간 달성할 때마다 포상 받아가세요! (이미지 참고)</t>
    <phoneticPr fontId="3" type="noConversion"/>
  </si>
  <si>
    <t>2좌</t>
    <phoneticPr fontId="3" type="noConversion"/>
  </si>
  <si>
    <t>4좌</t>
    <phoneticPr fontId="3" type="noConversion"/>
  </si>
  <si>
    <t>6좌</t>
    <phoneticPr fontId="3" type="noConversion"/>
  </si>
  <si>
    <t>8좌</t>
    <phoneticPr fontId="3" type="noConversion"/>
  </si>
  <si>
    <t>10좌</t>
    <phoneticPr fontId="3" type="noConversion"/>
  </si>
  <si>
    <t>15좌</t>
    <phoneticPr fontId="3" type="noConversion"/>
  </si>
  <si>
    <t>20좌</t>
    <phoneticPr fontId="3" type="noConversion"/>
  </si>
  <si>
    <t>실적</t>
    <phoneticPr fontId="3" type="noConversion"/>
  </si>
  <si>
    <t>행번</t>
    <phoneticPr fontId="3" type="noConversion"/>
  </si>
  <si>
    <t>송혜원</t>
  </si>
  <si>
    <t>윤덕상</t>
  </si>
  <si>
    <t>강현욱</t>
  </si>
  <si>
    <t>윤지연</t>
  </si>
  <si>
    <t>송우근</t>
  </si>
  <si>
    <t>장우영</t>
  </si>
  <si>
    <t>김형열</t>
  </si>
  <si>
    <t>문수희</t>
  </si>
  <si>
    <t>김성현</t>
  </si>
  <si>
    <t>박진우</t>
  </si>
  <si>
    <t>김건우</t>
  </si>
  <si>
    <t>이진동</t>
  </si>
  <si>
    <t>박진수</t>
  </si>
  <si>
    <t>신동훈</t>
  </si>
  <si>
    <t>정지은</t>
  </si>
  <si>
    <t>최휘</t>
  </si>
  <si>
    <t>김지애</t>
  </si>
  <si>
    <t>이혜진</t>
  </si>
  <si>
    <t>이대호</t>
  </si>
  <si>
    <t>구승연</t>
  </si>
  <si>
    <t>정나실</t>
  </si>
  <si>
    <t>김정윤</t>
  </si>
  <si>
    <t>백소연</t>
  </si>
  <si>
    <t>이해주</t>
  </si>
  <si>
    <t>박경한</t>
  </si>
  <si>
    <t>박수진</t>
  </si>
  <si>
    <t>조윤빈</t>
  </si>
  <si>
    <t>이재국</t>
  </si>
  <si>
    <t>지수민</t>
  </si>
  <si>
    <t>권주원</t>
  </si>
  <si>
    <t>임한결</t>
  </si>
  <si>
    <t>윤환희</t>
  </si>
  <si>
    <t>손창희</t>
  </si>
  <si>
    <t>이건희</t>
  </si>
  <si>
    <t>김예진</t>
  </si>
  <si>
    <t>최은애</t>
  </si>
  <si>
    <t>김예지</t>
  </si>
  <si>
    <t>장진석</t>
  </si>
  <si>
    <t>조효정</t>
  </si>
  <si>
    <t>이경헌</t>
  </si>
  <si>
    <t>고희섭</t>
  </si>
  <si>
    <t>조상연</t>
  </si>
  <si>
    <t>송희선</t>
  </si>
  <si>
    <t>이현진</t>
  </si>
  <si>
    <t>곽상은</t>
  </si>
  <si>
    <t>송준민</t>
  </si>
  <si>
    <t>이수본</t>
  </si>
  <si>
    <t>이진우</t>
  </si>
  <si>
    <t>이은영</t>
  </si>
  <si>
    <t>남동우</t>
  </si>
  <si>
    <t>송용준</t>
  </si>
  <si>
    <t>조예지</t>
  </si>
  <si>
    <t>최선영</t>
  </si>
  <si>
    <t>이태호</t>
  </si>
  <si>
    <t>박연서</t>
  </si>
  <si>
    <t>장경은</t>
  </si>
  <si>
    <t>최안성</t>
  </si>
  <si>
    <t>김수호</t>
  </si>
  <si>
    <t>윤승환</t>
  </si>
  <si>
    <t>백주엽</t>
  </si>
  <si>
    <t>유상현</t>
  </si>
  <si>
    <t>고민성</t>
  </si>
  <si>
    <t>김소영</t>
  </si>
  <si>
    <t>육근혜</t>
  </si>
  <si>
    <t>배준형</t>
  </si>
  <si>
    <t>조형욱</t>
  </si>
  <si>
    <t>채보경</t>
  </si>
  <si>
    <t>한수호</t>
  </si>
  <si>
    <t>김민재</t>
  </si>
  <si>
    <t>원무연</t>
  </si>
  <si>
    <t>김명진</t>
  </si>
  <si>
    <t>곽지현</t>
  </si>
  <si>
    <t>김지환</t>
  </si>
  <si>
    <t>장예진</t>
  </si>
  <si>
    <t>김재학</t>
  </si>
  <si>
    <t>김기현</t>
  </si>
  <si>
    <t>신상헌</t>
  </si>
  <si>
    <t>이재승</t>
  </si>
  <si>
    <t>신지연</t>
  </si>
  <si>
    <t>이수성</t>
  </si>
  <si>
    <t>마인애</t>
  </si>
  <si>
    <t>김예솔</t>
  </si>
  <si>
    <t>박종운</t>
  </si>
  <si>
    <t>박정은</t>
  </si>
  <si>
    <t>한재근</t>
  </si>
  <si>
    <t>윤현정</t>
  </si>
  <si>
    <t>유연수</t>
  </si>
  <si>
    <t>유선정</t>
  </si>
  <si>
    <t>이현용</t>
  </si>
  <si>
    <t>김경미</t>
  </si>
  <si>
    <t>채희범</t>
  </si>
  <si>
    <t>김민지</t>
  </si>
  <si>
    <t>김진성</t>
  </si>
  <si>
    <t>신채연</t>
  </si>
  <si>
    <t>정동화</t>
  </si>
  <si>
    <t>이창섭</t>
  </si>
  <si>
    <t>박지현</t>
  </si>
  <si>
    <t>김선희</t>
  </si>
  <si>
    <t>이지예</t>
  </si>
  <si>
    <t>유연경</t>
  </si>
  <si>
    <t>김응태</t>
  </si>
  <si>
    <t>최지애</t>
  </si>
  <si>
    <t>차정호</t>
  </si>
  <si>
    <t>윤진한</t>
  </si>
  <si>
    <t>김경은</t>
  </si>
  <si>
    <t>이준구</t>
  </si>
  <si>
    <t>남궁윤선</t>
  </si>
  <si>
    <t>단태경</t>
  </si>
  <si>
    <t>최연희</t>
  </si>
  <si>
    <t>부해철</t>
  </si>
  <si>
    <t>박세진</t>
  </si>
  <si>
    <t>김주영</t>
  </si>
  <si>
    <t>노준우</t>
  </si>
  <si>
    <t>김아현</t>
  </si>
  <si>
    <t>김도연</t>
  </si>
  <si>
    <t>최지원</t>
  </si>
  <si>
    <t>양성은</t>
  </si>
  <si>
    <t>박혜원</t>
  </si>
  <si>
    <t>박수연</t>
  </si>
  <si>
    <t>박정연</t>
  </si>
  <si>
    <t>임미선</t>
  </si>
  <si>
    <t>우영준</t>
  </si>
  <si>
    <t>정하영</t>
  </si>
  <si>
    <t>이현승</t>
  </si>
  <si>
    <t>채현정</t>
  </si>
  <si>
    <t>이선정</t>
  </si>
  <si>
    <t>유승한</t>
  </si>
  <si>
    <t>이민영</t>
  </si>
  <si>
    <t>서인영</t>
  </si>
  <si>
    <t>이가은</t>
  </si>
  <si>
    <t>조완제</t>
  </si>
  <si>
    <t>박주은</t>
  </si>
  <si>
    <t>서제훈</t>
  </si>
  <si>
    <t>강민지</t>
  </si>
  <si>
    <t>최문경</t>
  </si>
  <si>
    <t>조인성</t>
  </si>
  <si>
    <t>김미림</t>
  </si>
  <si>
    <t>조은영</t>
  </si>
  <si>
    <t>최홍화</t>
  </si>
  <si>
    <t>남대현</t>
  </si>
  <si>
    <t>김영곤</t>
  </si>
  <si>
    <t>황우석</t>
  </si>
  <si>
    <t>김은혜</t>
  </si>
  <si>
    <t>이길우</t>
  </si>
  <si>
    <t>정민우</t>
  </si>
  <si>
    <t>서동현</t>
  </si>
  <si>
    <t>송민승</t>
  </si>
  <si>
    <t>권용정</t>
  </si>
  <si>
    <t>김창연</t>
  </si>
  <si>
    <t>윤희철</t>
  </si>
  <si>
    <t>장동규</t>
  </si>
  <si>
    <t>정유진</t>
  </si>
  <si>
    <t>김동윤</t>
  </si>
  <si>
    <t>노호균</t>
  </si>
  <si>
    <t>성우현</t>
  </si>
  <si>
    <t>이현욱</t>
  </si>
  <si>
    <t>양인형</t>
  </si>
  <si>
    <t>최지섭</t>
  </si>
  <si>
    <t>엄다희</t>
  </si>
  <si>
    <t>이찬희</t>
  </si>
  <si>
    <t>김동욱</t>
  </si>
  <si>
    <t>박세홍</t>
  </si>
  <si>
    <t>한명훈</t>
  </si>
  <si>
    <t>박경민</t>
  </si>
  <si>
    <t>김보고</t>
  </si>
  <si>
    <t>김용일</t>
  </si>
  <si>
    <t>김기영</t>
  </si>
  <si>
    <t>오채현</t>
  </si>
  <si>
    <t>박동희</t>
  </si>
  <si>
    <t>박혜진</t>
  </si>
  <si>
    <t>이광호</t>
  </si>
  <si>
    <t>장정인</t>
  </si>
  <si>
    <t>오성호</t>
  </si>
  <si>
    <t>백지영</t>
  </si>
  <si>
    <t>노정식</t>
  </si>
  <si>
    <t>박지은</t>
  </si>
  <si>
    <t>최보경</t>
  </si>
  <si>
    <t>심유리</t>
  </si>
  <si>
    <t>이혜연</t>
  </si>
  <si>
    <t>김소정</t>
  </si>
  <si>
    <t>구본탁</t>
  </si>
  <si>
    <t>김한길</t>
  </si>
  <si>
    <t>나중범</t>
  </si>
  <si>
    <t>신지은</t>
  </si>
  <si>
    <t>옥영준</t>
  </si>
  <si>
    <t>김민진</t>
  </si>
  <si>
    <t>이가형</t>
  </si>
  <si>
    <t>박소정</t>
  </si>
  <si>
    <t>서환휴</t>
  </si>
  <si>
    <t>안효주</t>
  </si>
  <si>
    <t>문선화</t>
  </si>
  <si>
    <t>최윤영</t>
  </si>
  <si>
    <t>박은정</t>
  </si>
  <si>
    <t>윤호산</t>
  </si>
  <si>
    <t>최윤선</t>
  </si>
  <si>
    <t>한보람</t>
  </si>
  <si>
    <t>오수진</t>
  </si>
  <si>
    <t>김도균</t>
  </si>
  <si>
    <t>이동섭</t>
  </si>
  <si>
    <t>안준호</t>
  </si>
  <si>
    <t>이혜정</t>
  </si>
  <si>
    <t>한승완</t>
  </si>
  <si>
    <t>박태민</t>
  </si>
  <si>
    <t>안세현</t>
  </si>
  <si>
    <t>전진아</t>
  </si>
  <si>
    <t>전민표</t>
  </si>
  <si>
    <t>박성진</t>
  </si>
  <si>
    <t>홍영표</t>
  </si>
  <si>
    <t>고병준</t>
  </si>
  <si>
    <t>김자영</t>
  </si>
  <si>
    <t>사연우</t>
  </si>
  <si>
    <t>양승주</t>
  </si>
  <si>
    <t>소다미</t>
  </si>
  <si>
    <t>인성민</t>
  </si>
  <si>
    <t>박경원</t>
  </si>
  <si>
    <t>정은진</t>
  </si>
  <si>
    <t>김연우</t>
  </si>
  <si>
    <t>김민희</t>
  </si>
  <si>
    <t>윤덕진</t>
  </si>
  <si>
    <t>이기웅</t>
  </si>
  <si>
    <t>최민수</t>
  </si>
  <si>
    <t>권영신</t>
  </si>
  <si>
    <t>김주희</t>
  </si>
  <si>
    <t>차현동</t>
  </si>
  <si>
    <t>조승혜</t>
  </si>
  <si>
    <t>장은정</t>
  </si>
  <si>
    <t>황희</t>
  </si>
  <si>
    <t>강유니</t>
  </si>
  <si>
    <t>이호양</t>
  </si>
  <si>
    <t>전민영</t>
  </si>
  <si>
    <t>이동민</t>
  </si>
  <si>
    <t>조은정</t>
  </si>
  <si>
    <t>신태환</t>
  </si>
  <si>
    <t>견병훈</t>
  </si>
  <si>
    <t>01040493155</t>
  </si>
  <si>
    <t>01095129328</t>
  </si>
  <si>
    <t>01052849590</t>
  </si>
  <si>
    <t>01029693439</t>
  </si>
  <si>
    <t>01095088590</t>
  </si>
  <si>
    <t>01095656787</t>
  </si>
  <si>
    <t>01029351126</t>
  </si>
  <si>
    <t>01087897534</t>
  </si>
  <si>
    <t>01098340814</t>
  </si>
  <si>
    <t>01092226750</t>
  </si>
  <si>
    <t>01050336727</t>
  </si>
  <si>
    <t>01099995429</t>
  </si>
  <si>
    <t>01026304125</t>
  </si>
  <si>
    <t>01085437136</t>
  </si>
  <si>
    <t>01052320748</t>
  </si>
  <si>
    <t>01068588523</t>
  </si>
  <si>
    <t>01027673400</t>
  </si>
  <si>
    <t>01086365787</t>
  </si>
  <si>
    <t>01036867495</t>
  </si>
  <si>
    <t>01041027373</t>
  </si>
  <si>
    <t>01087624317</t>
  </si>
  <si>
    <t>01027319130</t>
  </si>
  <si>
    <t>01085436819</t>
  </si>
  <si>
    <t>01041479230</t>
  </si>
  <si>
    <t>01066358305</t>
  </si>
  <si>
    <t>01056549946</t>
  </si>
  <si>
    <t>01046271285</t>
  </si>
  <si>
    <t>01049095007</t>
  </si>
  <si>
    <t>01028255528</t>
  </si>
  <si>
    <t>01030168331</t>
  </si>
  <si>
    <t>01095633334</t>
  </si>
  <si>
    <t>01092893287</t>
  </si>
  <si>
    <t>01020112225</t>
  </si>
  <si>
    <t>01085995493</t>
  </si>
  <si>
    <t>01045129198</t>
  </si>
  <si>
    <t>01057317658</t>
  </si>
  <si>
    <t>01066107215</t>
  </si>
  <si>
    <t>01029200313</t>
  </si>
  <si>
    <t>01088141312</t>
  </si>
  <si>
    <t>01093464164</t>
  </si>
  <si>
    <t>01074853557</t>
  </si>
  <si>
    <t>01054218894</t>
  </si>
  <si>
    <t>01068772470</t>
  </si>
  <si>
    <t>01088378905</t>
  </si>
  <si>
    <t>01026623060</t>
  </si>
  <si>
    <t>01020417728</t>
  </si>
  <si>
    <t>01067787368</t>
  </si>
  <si>
    <t>01048906930</t>
  </si>
  <si>
    <t>01092916648</t>
  </si>
  <si>
    <t>01034029319</t>
  </si>
  <si>
    <t>01058730130</t>
  </si>
  <si>
    <t>01087576667</t>
  </si>
  <si>
    <t>01089921775</t>
  </si>
  <si>
    <t>01031430963</t>
  </si>
  <si>
    <t>01063158903</t>
  </si>
  <si>
    <t>01032356356</t>
  </si>
  <si>
    <t>01036646345</t>
  </si>
  <si>
    <t>01092664807</t>
  </si>
  <si>
    <t>01020331839</t>
  </si>
  <si>
    <t>01065248449</t>
  </si>
  <si>
    <t>01026777055</t>
  </si>
  <si>
    <t>01050928143</t>
  </si>
  <si>
    <t>01047392708</t>
  </si>
  <si>
    <t>01029305162</t>
  </si>
  <si>
    <t>01035612175</t>
  </si>
  <si>
    <t>01047086920</t>
  </si>
  <si>
    <t>01051561984</t>
  </si>
  <si>
    <t>01099882624</t>
  </si>
  <si>
    <t>01085557974</t>
  </si>
  <si>
    <t>01071303261</t>
  </si>
  <si>
    <t>01046267165</t>
  </si>
  <si>
    <t>01025205013</t>
  </si>
  <si>
    <t>01046649091</t>
  </si>
  <si>
    <t>01046864606</t>
  </si>
  <si>
    <t>01077281099</t>
  </si>
  <si>
    <t>01097075538</t>
  </si>
  <si>
    <t>01073564004</t>
  </si>
  <si>
    <t>01023923100</t>
  </si>
  <si>
    <t>01055300417</t>
  </si>
  <si>
    <t>01072121082</t>
  </si>
  <si>
    <t>01041619536</t>
  </si>
  <si>
    <t>01090731041</t>
  </si>
  <si>
    <t>01036967138</t>
  </si>
  <si>
    <t>01052449733</t>
  </si>
  <si>
    <t>01023083239</t>
  </si>
  <si>
    <t>01084027765</t>
  </si>
  <si>
    <t>01053044077</t>
  </si>
  <si>
    <t>01071627917</t>
  </si>
  <si>
    <t>01024480377</t>
  </si>
  <si>
    <t>01077105897</t>
  </si>
  <si>
    <t>01050664421</t>
  </si>
  <si>
    <t>01029760259</t>
  </si>
  <si>
    <t>01099855042</t>
  </si>
  <si>
    <t>01086454114</t>
  </si>
  <si>
    <t>01084143401</t>
  </si>
  <si>
    <t>01092629616</t>
  </si>
  <si>
    <t>01044625689</t>
  </si>
  <si>
    <t>01024850454</t>
  </si>
  <si>
    <t>01093111354</t>
  </si>
  <si>
    <t>01033968777</t>
  </si>
  <si>
    <t>01092479718</t>
  </si>
  <si>
    <t>01051160563</t>
  </si>
  <si>
    <t>01089790475</t>
  </si>
  <si>
    <t>01077765679</t>
  </si>
  <si>
    <t>01041280826</t>
  </si>
  <si>
    <t>01092164070</t>
  </si>
  <si>
    <t>01030247034</t>
  </si>
  <si>
    <t>01032739870</t>
  </si>
  <si>
    <t>01067025578</t>
  </si>
  <si>
    <t>01081073330</t>
  </si>
  <si>
    <t>01071523461</t>
  </si>
  <si>
    <t>01047114409</t>
  </si>
  <si>
    <t>01040534808</t>
  </si>
  <si>
    <t>01094444352</t>
  </si>
  <si>
    <t>01072715200</t>
  </si>
  <si>
    <t>01045728672</t>
  </si>
  <si>
    <t>01096370522</t>
  </si>
  <si>
    <t>01053090629</t>
  </si>
  <si>
    <t>01084151678</t>
  </si>
  <si>
    <t>01052953151</t>
  </si>
  <si>
    <t>01055582760</t>
  </si>
  <si>
    <t>01024907384</t>
  </si>
  <si>
    <t>01095254422</t>
  </si>
  <si>
    <t>01071961527</t>
  </si>
  <si>
    <t>01022171185</t>
  </si>
  <si>
    <t>01052043293</t>
  </si>
  <si>
    <t>01088857901</t>
  </si>
  <si>
    <t>01052922298</t>
  </si>
  <si>
    <t>01037654950</t>
  </si>
  <si>
    <t>01093154091</t>
  </si>
  <si>
    <t>01071098956</t>
  </si>
  <si>
    <t>01048593067</t>
  </si>
  <si>
    <t>01088389299</t>
  </si>
  <si>
    <t>01020418391</t>
  </si>
  <si>
    <t>01088464491</t>
  </si>
  <si>
    <t>01071435434</t>
  </si>
  <si>
    <t>01090079368</t>
  </si>
  <si>
    <t>01091470287</t>
  </si>
  <si>
    <t>01090570122</t>
  </si>
  <si>
    <t>01088912376</t>
  </si>
  <si>
    <t>01055907582</t>
  </si>
  <si>
    <t>01099498145</t>
  </si>
  <si>
    <t>01079323676</t>
  </si>
  <si>
    <t>01076053595</t>
  </si>
  <si>
    <t>01026735718</t>
  </si>
  <si>
    <t>01071665122</t>
  </si>
  <si>
    <t>01076768909</t>
  </si>
  <si>
    <t>01086690593</t>
  </si>
  <si>
    <t>01047077058</t>
  </si>
  <si>
    <t>01029118127</t>
  </si>
  <si>
    <t>01090148271</t>
  </si>
  <si>
    <t>01065654067</t>
  </si>
  <si>
    <t>01090412603</t>
  </si>
  <si>
    <t>01073306008</t>
  </si>
  <si>
    <t>01058241712</t>
  </si>
  <si>
    <t>01030667813</t>
  </si>
  <si>
    <t>01065735079</t>
  </si>
  <si>
    <t>01038356561</t>
  </si>
  <si>
    <t>01068900857</t>
  </si>
  <si>
    <t>01045236359</t>
  </si>
  <si>
    <t>01095035077</t>
  </si>
  <si>
    <t>01023378027</t>
  </si>
  <si>
    <t>01024121476</t>
  </si>
  <si>
    <t>01048028249</t>
  </si>
  <si>
    <t>01057136171</t>
  </si>
  <si>
    <t>01096614463</t>
  </si>
  <si>
    <t>01073767097</t>
  </si>
  <si>
    <t>01071748956</t>
  </si>
  <si>
    <t>01043010417</t>
  </si>
  <si>
    <t>01099460865</t>
  </si>
  <si>
    <t>01045900988</t>
  </si>
  <si>
    <t>01046803070</t>
  </si>
  <si>
    <t>01085781268</t>
  </si>
  <si>
    <t>01066799801</t>
  </si>
  <si>
    <t>01055500040</t>
  </si>
  <si>
    <t>01094014673</t>
  </si>
  <si>
    <t>01066620674</t>
  </si>
  <si>
    <t>01052247034</t>
  </si>
  <si>
    <t>01073714003</t>
  </si>
  <si>
    <t>01094605951</t>
  </si>
  <si>
    <t>01056122513</t>
  </si>
  <si>
    <t>01031929893</t>
  </si>
  <si>
    <t>01096817879</t>
  </si>
  <si>
    <t>01029180719</t>
  </si>
  <si>
    <t>01038079539</t>
  </si>
  <si>
    <t>01020112172</t>
  </si>
  <si>
    <t>01039039396</t>
  </si>
  <si>
    <t>01086322518</t>
  </si>
  <si>
    <t>01085391865</t>
  </si>
  <si>
    <t>01077597226</t>
  </si>
  <si>
    <t>01095212788</t>
  </si>
  <si>
    <t>01042341679</t>
  </si>
  <si>
    <t>01087198206</t>
  </si>
  <si>
    <t>01032102264</t>
  </si>
  <si>
    <t>01023650491</t>
  </si>
  <si>
    <t>01022395367</t>
  </si>
  <si>
    <t>01027029199</t>
  </si>
  <si>
    <t>01020930128</t>
  </si>
  <si>
    <t>01093272564</t>
  </si>
  <si>
    <t>01042298428</t>
  </si>
  <si>
    <t>01056550919</t>
  </si>
  <si>
    <t>01041238876</t>
  </si>
  <si>
    <t>01075586501</t>
  </si>
  <si>
    <t>01089653915</t>
  </si>
  <si>
    <t>01095422500</t>
  </si>
  <si>
    <t>01038747529</t>
  </si>
  <si>
    <t>01087780539</t>
  </si>
  <si>
    <t>01026034542</t>
  </si>
  <si>
    <t>01098897686</t>
  </si>
  <si>
    <t>01055807266</t>
  </si>
  <si>
    <t>01087028415</t>
  </si>
  <si>
    <t>01074767428</t>
  </si>
  <si>
    <t>01035987273</t>
  </si>
  <si>
    <t>01071183804</t>
  </si>
  <si>
    <t>01054047392</t>
  </si>
  <si>
    <t>01049308816</t>
  </si>
  <si>
    <t>01020081980</t>
  </si>
  <si>
    <t>01039348600</t>
  </si>
  <si>
    <t>01077129124</t>
  </si>
  <si>
    <t>01039150221</t>
  </si>
  <si>
    <t>01025226441</t>
  </si>
  <si>
    <t>01048172340</t>
  </si>
  <si>
    <t>01066755024</t>
  </si>
  <si>
    <t>01050311422</t>
  </si>
  <si>
    <t>01028379220</t>
  </si>
  <si>
    <t>01056965602</t>
  </si>
  <si>
    <t>01087630072</t>
  </si>
  <si>
    <t>01039415966</t>
  </si>
  <si>
    <t>01027359961</t>
  </si>
  <si>
    <t>01092895212</t>
  </si>
  <si>
    <t>01052717127</t>
  </si>
  <si>
    <t>01031807267</t>
  </si>
  <si>
    <t>01021768281</t>
  </si>
  <si>
    <t>01085067034</t>
  </si>
  <si>
    <t>01030021312</t>
  </si>
  <si>
    <t>01027260291</t>
  </si>
  <si>
    <t>01098691022</t>
  </si>
  <si>
    <t>01031680582</t>
  </si>
  <si>
    <t>01036736688</t>
  </si>
  <si>
    <t>01045326739</t>
  </si>
  <si>
    <t>01062604479</t>
  </si>
  <si>
    <t>01024283620</t>
  </si>
  <si>
    <t>01047142507</t>
  </si>
  <si>
    <t>01096126020</t>
  </si>
  <si>
    <t>01087853041</t>
  </si>
  <si>
    <t>01063534337</t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</si>
  <si>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</si>
  <si>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</si>
  <si>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</si>
  <si>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</si>
  <si>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</si>
  <si>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</si>
  <si>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달성구간</t>
    <phoneticPr fontId="3" type="noConversion"/>
  </si>
  <si>
    <t>포상</t>
    <phoneticPr fontId="3" type="noConversion"/>
  </si>
  <si>
    <t>총액</t>
    <phoneticPr fontId="3" type="noConversion"/>
  </si>
  <si>
    <t>■ 우리카드 구간포상 이벤트_202602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</si>
</sst>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#,###&quot;원&quot;"/>
    <numFmt numFmtId="177" formatCode="###,###\ \ ;\▲###,###\ \ ;\ \ \-"/>
    <numFmt numFmtId="178" formatCode="###,###&quot;명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10"/>
      <color rgb="FF222222"/>
      <name val="Arial"/>
      <family val="2"/>
    </font>
    <font>
      <b/>
      <sz val="10"/>
      <color rgb="FF22222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4" xfId="0" applyNumberFormat="1" applyBorder="1">
      <alignment vertical="center"/>
    </xf>
    <xf numFmtId="41" fontId="0" fillId="0" borderId="0" xfId="1" applyFont="1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5" fillId="2" borderId="1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2" borderId="12" xfId="0" applyFont="1" applyFill="1" applyBorder="1" applyAlignment="1">
      <alignment horizontal="center" vertical="center"/>
    </xf>
    <xf numFmtId="176" fontId="4" fillId="2" borderId="26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12" fillId="0" borderId="0" xfId="1" applyFont="1">
      <alignment vertical="center"/>
    </xf>
    <xf numFmtId="41" fontId="12" fillId="0" borderId="0" xfId="0" applyNumberFormat="1" applyFont="1">
      <alignment vertical="center"/>
    </xf>
    <xf numFmtId="41" fontId="0" fillId="0" borderId="13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0" borderId="29" xfId="1" applyFont="1" applyBorder="1" applyAlignment="1">
      <alignment horizontal="center" vertical="center"/>
    </xf>
    <xf numFmtId="41" fontId="0" fillId="0" borderId="33" xfId="1" applyFont="1" applyBorder="1" applyAlignment="1">
      <alignment horizontal="center" vertical="center"/>
    </xf>
    <xf numFmtId="177" fontId="0" fillId="0" borderId="33" xfId="0" applyNumberFormat="1" applyBorder="1">
      <alignment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8" fontId="5" fillId="2" borderId="34" xfId="0" applyNumberFormat="1" applyFont="1" applyFill="1" applyBorder="1" applyAlignment="1">
      <alignment horizontal="center" vertical="center"/>
    </xf>
    <xf numFmtId="178" fontId="5" fillId="2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4" fillId="2" borderId="38" xfId="0" applyFont="1" applyFill="1" applyBorder="1" applyAlignment="1">
      <alignment horizontal="center" vertical="top"/>
    </xf>
    <xf numFmtId="0" fontId="4" fillId="2" borderId="37" xfId="0" applyFont="1" applyFill="1" applyBorder="1" applyAlignment="1">
      <alignment horizontal="center" vertical="top"/>
    </xf>
    <xf numFmtId="178" fontId="5" fillId="2" borderId="27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top"/>
    </xf>
    <xf numFmtId="178" fontId="5" fillId="2" borderId="42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41" fontId="0" fillId="0" borderId="0" xfId="0" applyNumberFormat="1" applyAlignment="1">
      <alignment horizontal="center" vertical="center"/>
    </xf>
    <xf numFmtId="178" fontId="4" fillId="2" borderId="44" xfId="0" applyNumberFormat="1" applyFont="1" applyFill="1" applyBorder="1" applyAlignment="1">
      <alignment horizontal="center" vertical="center"/>
    </xf>
    <xf numFmtId="178" fontId="4" fillId="2" borderId="45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361950</xdr:colOff>
      <xdr:row>0</xdr:row>
      <xdr:rowOff>190500</xdr:rowOff>
    </xdr:from>
    <xdr:ext cx="4590476" cy="2933333"/>
    <xdr:pic>
      <xdr:nvPicPr>
        <xdr:cNvPr id="2" name="그림 1">
          <a:extLst>
            <a:ext uri="{FF2B5EF4-FFF2-40B4-BE49-F238E27FC236}">
              <a16:creationId xmlns:a16="http://schemas.microsoft.com/office/drawing/2014/main" id="{BB8BEAA0-1246-480A-B024-3D1DBCB3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190500"/>
          <a:ext cx="4590476" cy="2933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285750</xdr:colOff>
      <xdr:row>2</xdr:row>
      <xdr:rowOff>9525</xdr:rowOff>
    </xdr:from>
    <xdr:to>
      <xdr:col>25</xdr:col>
      <xdr:colOff>475676</xdr:colOff>
      <xdr:row>15</xdr:row>
      <xdr:rowOff>199658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6A2AB95-9E8E-440A-AB55-CFD0B8F6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5550" y="438150"/>
          <a:ext cx="4590476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741B-1CF7-4FCA-B582-D48604FF7916}">
  <dimension ref="B1:U194"/>
  <sheetViews>
    <sheetView showGridLines="0" workbookViewId="0">
      <selection activeCell="N6" sqref="N6"/>
    </sheetView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customWidth="1"/>
    <col min="6" max="6" width="8.125" customWidth="1"/>
    <col min="7" max="13" width="9.75" style="11" customWidth="1"/>
    <col min="14" max="14" width="15" customWidth="1"/>
    <col min="17" max="17" width="10.875" style="13" bestFit="1" customWidth="1"/>
    <col min="18" max="18" width="10.875" bestFit="1" customWidth="1"/>
  </cols>
  <sheetData>
    <row r="1" spans="2:21" ht="17.25">
      <c r="B1" s="18" t="s">
        <v>382</v>
      </c>
    </row>
    <row r="2" spans="2:21">
      <c r="G2" s="44">
        <v>2</v>
      </c>
      <c r="H2" s="44">
        <v>4</v>
      </c>
      <c r="I2" s="44">
        <v>6</v>
      </c>
      <c r="J2" s="44">
        <v>8</v>
      </c>
      <c r="K2" s="44">
        <v>10</v>
      </c>
      <c r="L2" s="44">
        <v>15</v>
      </c>
      <c r="M2" s="44">
        <v>20</v>
      </c>
      <c r="P2" s="14"/>
      <c r="Q2" s="15"/>
      <c r="R2" s="14"/>
    </row>
    <row r="3" spans="2:21">
      <c r="B3" s="1" t="s">
        <v>380</v>
      </c>
      <c r="C3" s="3" t="s">
        <v>0</v>
      </c>
      <c r="D3" s="2" t="s">
        <v>378</v>
      </c>
      <c r="E3" s="2" t="s">
        <v>461</v>
      </c>
      <c r="F3" s="54" t="s">
        <v>460</v>
      </c>
      <c r="G3" s="59" t="s">
        <v>188</v>
      </c>
      <c r="H3" s="60"/>
      <c r="I3" s="60"/>
      <c r="J3" s="60"/>
      <c r="K3" s="60"/>
      <c r="L3" s="60"/>
      <c r="M3" s="60"/>
      <c r="N3" s="61"/>
      <c r="O3" s="35"/>
      <c r="P3" s="35">
        <v>2</v>
      </c>
      <c r="Q3" s="40">
        <v>50000</v>
      </c>
      <c r="R3" s="41">
        <f>Q3</f>
        <v>50000</v>
      </c>
      <c r="S3" s="35"/>
      <c r="T3" s="35"/>
      <c r="U3" s="35"/>
    </row>
    <row r="4" spans="2:21" ht="17.25" thickBot="1">
      <c r="B4" s="4"/>
      <c r="C4" s="6"/>
      <c r="D4" s="5"/>
      <c r="E4" s="5"/>
      <c r="F4" s="77"/>
      <c r="G4" s="7" t="s">
        <v>453</v>
      </c>
      <c r="H4" s="7" t="s">
        <v>454</v>
      </c>
      <c r="I4" s="7" t="s">
        <v>455</v>
      </c>
      <c r="J4" s="7" t="s">
        <v>456</v>
      </c>
      <c r="K4" s="7" t="s">
        <v>457</v>
      </c>
      <c r="L4" s="7" t="s">
        <v>458</v>
      </c>
      <c r="M4" s="7" t="s">
        <v>459</v>
      </c>
      <c r="N4" s="8" t="s">
        <v>381</v>
      </c>
      <c r="O4" s="35"/>
      <c r="P4" s="35">
        <v>4</v>
      </c>
      <c r="Q4" s="40">
        <v>100000</v>
      </c>
      <c r="R4" s="41">
        <f>Q3+Q4</f>
        <v>150000</v>
      </c>
      <c r="S4" s="35"/>
      <c r="T4" s="35"/>
      <c r="U4" s="35"/>
    </row>
    <row r="5" spans="2:21" ht="17.25" thickBot="1">
      <c r="B5" s="62" t="s">
        <v>379</v>
      </c>
      <c r="C5" s="63"/>
      <c r="D5" s="19">
        <f>COUNTA(C6:C194)</f>
        <v>189</v>
      </c>
      <c r="E5" s="57"/>
      <c r="F5" s="56"/>
      <c r="G5" s="55"/>
      <c r="H5" s="36"/>
      <c r="I5" s="36"/>
      <c r="J5" s="36"/>
      <c r="K5" s="36"/>
      <c r="L5" s="36"/>
      <c r="M5" s="38"/>
      <c r="N5" s="37">
        <f>SUM(N6:N194)</f>
        <v>10650000</v>
      </c>
      <c r="O5" s="35"/>
      <c r="P5" s="35">
        <v>6</v>
      </c>
      <c r="Q5" s="40">
        <v>200000</v>
      </c>
      <c r="R5" s="41">
        <f>Q3+Q4+Q5</f>
        <v>350000</v>
      </c>
      <c r="S5" s="35"/>
      <c r="T5" s="35"/>
      <c r="U5" s="35"/>
    </row>
    <row r="6" spans="2:21">
      <c r="B6" s="16">
        <v>1</v>
      </c>
      <c r="C6" s="17" t="s">
        <v>1</v>
      </c>
      <c r="D6" s="17" t="s">
        <v>189</v>
      </c>
      <c r="E6" s="58">
        <v>31902942</v>
      </c>
      <c r="F6" s="39">
        <v>6</v>
      </c>
      <c r="G6" s="42" t="str">
        <f>IF(IFERROR(VLOOKUP($F6,$P:$P,1,1),0)&gt;=G$2,"o","-")</f>
        <v>o</v>
      </c>
      <c r="H6" s="43" t="str">
        <f>IF(IFERROR(VLOOKUP($F6,$P:$P,1,1),0)&gt;=H$2,"o","-")</f>
        <v>o</v>
      </c>
      <c r="I6" s="43" t="str">
        <f>IF(IFERROR(VLOOKUP($F6,$P:$P,1,1),0)&gt;=I$2,"o","-")</f>
        <v>o</v>
      </c>
      <c r="J6" s="43" t="str">
        <f>IF(IFERROR(VLOOKUP($F6,$P:$P,1,1),0)&gt;=J$2,"o","-")</f>
        <v>-</v>
      </c>
      <c r="K6" s="43" t="str">
        <f>IF(IFERROR(VLOOKUP($F6,$P:$P,1,1),0)&gt;=K$2,"o","-")</f>
        <v>-</v>
      </c>
      <c r="L6" s="43" t="str">
        <f>IF(IFERROR(VLOOKUP($F6,$P:$P,1,1),0)&gt;=L$2,"o","-")</f>
        <v>-</v>
      </c>
      <c r="M6" s="43" t="str">
        <f>IF(IFERROR(VLOOKUP($F6,$P:$P,1,1),0)&gt;=M$2,"o","-")</f>
        <v>-</v>
      </c>
      <c r="N6" s="12">
        <f>IFERROR(VLOOKUP(F6,$P:$R,3,1),0)</f>
        <v>350000</v>
      </c>
      <c r="O6" s="35"/>
      <c r="P6" s="35">
        <v>8</v>
      </c>
      <c r="Q6" s="40">
        <v>400000</v>
      </c>
      <c r="R6" s="41">
        <f>Q3+Q4+Q5+Q6</f>
        <v>750000</v>
      </c>
      <c r="S6" s="35"/>
      <c r="T6" s="35"/>
      <c r="U6" s="35"/>
    </row>
    <row r="7" spans="2:21">
      <c r="B7" s="9">
        <v>2</v>
      </c>
      <c r="C7" s="10" t="s">
        <v>2</v>
      </c>
      <c r="D7" s="10" t="s">
        <v>190</v>
      </c>
      <c r="E7" s="58">
        <v>32503160</v>
      </c>
      <c r="F7" s="39">
        <v>4</v>
      </c>
      <c r="G7" s="42" t="str">
        <f>IF(IFERROR(VLOOKUP($F7,$P:$P,1,1),0)&gt;=G$2,"o","-")</f>
        <v>o</v>
      </c>
      <c r="H7" s="43" t="str">
        <f>IF(IFERROR(VLOOKUP($F7,$P:$P,1,1),0)&gt;=H$2,"o","-")</f>
        <v>o</v>
      </c>
      <c r="I7" s="43" t="str">
        <f>IF(IFERROR(VLOOKUP($F7,$P:$P,1,1),0)&gt;=I$2,"o","-")</f>
        <v>-</v>
      </c>
      <c r="J7" s="43" t="str">
        <f>IF(IFERROR(VLOOKUP($F7,$P:$P,1,1),0)&gt;=J$2,"o","-")</f>
        <v>-</v>
      </c>
      <c r="K7" s="43" t="str">
        <f>IF(IFERROR(VLOOKUP($F7,$P:$P,1,1),0)&gt;=K$2,"o","-")</f>
        <v>-</v>
      </c>
      <c r="L7" s="43" t="str">
        <f>IF(IFERROR(VLOOKUP($F7,$P:$P,1,1),0)&gt;=L$2,"o","-")</f>
        <v>-</v>
      </c>
      <c r="M7" s="43" t="str">
        <f>IF(IFERROR(VLOOKUP($F7,$P:$P,1,1),0)&gt;=M$2,"o","-")</f>
        <v>-</v>
      </c>
      <c r="N7" s="12">
        <f>IFERROR(VLOOKUP(F7,$P:$R,3,1),0)</f>
        <v>150000</v>
      </c>
      <c r="O7" s="35"/>
      <c r="P7" s="35">
        <v>10</v>
      </c>
      <c r="Q7" s="40">
        <v>600000</v>
      </c>
      <c r="R7" s="41">
        <f>Q3+Q4+Q5+Q6+Q7</f>
        <v>1350000</v>
      </c>
      <c r="S7" s="35"/>
      <c r="T7" s="35"/>
      <c r="U7" s="35"/>
    </row>
    <row r="8" spans="2:21">
      <c r="B8" s="9">
        <v>3</v>
      </c>
      <c r="C8" s="10" t="s">
        <v>3</v>
      </c>
      <c r="D8" s="10" t="s">
        <v>191</v>
      </c>
      <c r="E8" s="58">
        <v>41100347</v>
      </c>
      <c r="F8" s="39">
        <v>4</v>
      </c>
      <c r="G8" s="42" t="str">
        <f>IF(IFERROR(VLOOKUP($F8,$P:$P,1,1),0)&gt;=G$2,"o","-")</f>
        <v>o</v>
      </c>
      <c r="H8" s="43" t="str">
        <f>IF(IFERROR(VLOOKUP($F8,$P:$P,1,1),0)&gt;=H$2,"o","-")</f>
        <v>o</v>
      </c>
      <c r="I8" s="43" t="str">
        <f>IF(IFERROR(VLOOKUP($F8,$P:$P,1,1),0)&gt;=I$2,"o","-")</f>
        <v>-</v>
      </c>
      <c r="J8" s="43" t="str">
        <f>IF(IFERROR(VLOOKUP($F8,$P:$P,1,1),0)&gt;=J$2,"o","-")</f>
        <v>-</v>
      </c>
      <c r="K8" s="43" t="str">
        <f>IF(IFERROR(VLOOKUP($F8,$P:$P,1,1),0)&gt;=K$2,"o","-")</f>
        <v>-</v>
      </c>
      <c r="L8" s="43" t="str">
        <f>IF(IFERROR(VLOOKUP($F8,$P:$P,1,1),0)&gt;=L$2,"o","-")</f>
        <v>-</v>
      </c>
      <c r="M8" s="43" t="str">
        <f>IF(IFERROR(VLOOKUP($F8,$P:$P,1,1),0)&gt;=M$2,"o","-")</f>
        <v>-</v>
      </c>
      <c r="N8" s="12">
        <f>IFERROR(VLOOKUP(F8,$P:$R,3,1),0)</f>
        <v>150000</v>
      </c>
      <c r="O8" s="35"/>
      <c r="P8" s="35">
        <v>15</v>
      </c>
      <c r="Q8" s="40">
        <v>1000000</v>
      </c>
      <c r="R8" s="41">
        <f>Q3+Q4+Q5+Q6+Q7+Q8</f>
        <v>2350000</v>
      </c>
      <c r="S8" s="35"/>
      <c r="T8" s="35"/>
      <c r="U8" s="35"/>
    </row>
    <row r="9" spans="2:21">
      <c r="B9" s="9">
        <v>4</v>
      </c>
      <c r="C9" s="10" t="s">
        <v>4</v>
      </c>
      <c r="D9" s="10" t="s">
        <v>192</v>
      </c>
      <c r="E9" s="58">
        <v>42000464</v>
      </c>
      <c r="F9" s="39">
        <v>4</v>
      </c>
      <c r="G9" s="42" t="str">
        <f>IF(IFERROR(VLOOKUP($F9,$P:$P,1,1),0)&gt;=G$2,"o","-")</f>
        <v>o</v>
      </c>
      <c r="H9" s="43" t="str">
        <f>IF(IFERROR(VLOOKUP($F9,$P:$P,1,1),0)&gt;=H$2,"o","-")</f>
        <v>o</v>
      </c>
      <c r="I9" s="43" t="str">
        <f>IF(IFERROR(VLOOKUP($F9,$P:$P,1,1),0)&gt;=I$2,"o","-")</f>
        <v>-</v>
      </c>
      <c r="J9" s="43" t="str">
        <f>IF(IFERROR(VLOOKUP($F9,$P:$P,1,1),0)&gt;=J$2,"o","-")</f>
        <v>-</v>
      </c>
      <c r="K9" s="43" t="str">
        <f>IF(IFERROR(VLOOKUP($F9,$P:$P,1,1),0)&gt;=K$2,"o","-")</f>
        <v>-</v>
      </c>
      <c r="L9" s="43" t="str">
        <f>IF(IFERROR(VLOOKUP($F9,$P:$P,1,1),0)&gt;=L$2,"o","-")</f>
        <v>-</v>
      </c>
      <c r="M9" s="43" t="str">
        <f>IF(IFERROR(VLOOKUP($F9,$P:$P,1,1),0)&gt;=M$2,"o","-")</f>
        <v>-</v>
      </c>
      <c r="N9" s="12">
        <f>IFERROR(VLOOKUP(F9,$P:$R,3,1),0)</f>
        <v>150000</v>
      </c>
      <c r="O9" s="35"/>
      <c r="P9" s="35">
        <v>20</v>
      </c>
      <c r="Q9" s="40">
        <v>2000000</v>
      </c>
      <c r="R9" s="41">
        <f>Q3+Q4+Q5+Q6+Q7+Q8+Q9</f>
        <v>4350000</v>
      </c>
      <c r="S9" s="35"/>
      <c r="T9" s="35"/>
      <c r="U9" s="35"/>
    </row>
    <row r="10" spans="2:21">
      <c r="B10" s="9">
        <v>5</v>
      </c>
      <c r="C10" s="10" t="s">
        <v>5</v>
      </c>
      <c r="D10" s="10" t="s">
        <v>193</v>
      </c>
      <c r="E10" s="58">
        <v>42302838</v>
      </c>
      <c r="F10" s="39">
        <v>4</v>
      </c>
      <c r="G10" s="42" t="str">
        <f>IF(IFERROR(VLOOKUP($F10,$P:$P,1,1),0)&gt;=G$2,"o","-")</f>
        <v>o</v>
      </c>
      <c r="H10" s="43" t="str">
        <f>IF(IFERROR(VLOOKUP($F10,$P:$P,1,1),0)&gt;=H$2,"o","-")</f>
        <v>o</v>
      </c>
      <c r="I10" s="43" t="str">
        <f>IF(IFERROR(VLOOKUP($F10,$P:$P,1,1),0)&gt;=I$2,"o","-")</f>
        <v>-</v>
      </c>
      <c r="J10" s="43" t="str">
        <f>IF(IFERROR(VLOOKUP($F10,$P:$P,1,1),0)&gt;=J$2,"o","-")</f>
        <v>-</v>
      </c>
      <c r="K10" s="43" t="str">
        <f>IF(IFERROR(VLOOKUP($F10,$P:$P,1,1),0)&gt;=K$2,"o","-")</f>
        <v>-</v>
      </c>
      <c r="L10" s="43" t="str">
        <f>IF(IFERROR(VLOOKUP($F10,$P:$P,1,1),0)&gt;=L$2,"o","-")</f>
        <v>-</v>
      </c>
      <c r="M10" s="43" t="str">
        <f>IF(IFERROR(VLOOKUP($F10,$P:$P,1,1),0)&gt;=M$2,"o","-")</f>
        <v>-</v>
      </c>
      <c r="N10" s="12">
        <f>IFERROR(VLOOKUP(F10,$P:$R,3,1),0)</f>
        <v>150000</v>
      </c>
      <c r="O10" s="35"/>
      <c r="S10" s="35"/>
      <c r="T10" s="35"/>
      <c r="U10" s="35"/>
    </row>
    <row r="11" spans="2:21">
      <c r="B11" s="9">
        <v>6</v>
      </c>
      <c r="C11" s="10" t="s">
        <v>6</v>
      </c>
      <c r="D11" s="10" t="s">
        <v>194</v>
      </c>
      <c r="E11" s="58">
        <v>41601954</v>
      </c>
      <c r="F11" s="39">
        <v>4</v>
      </c>
      <c r="G11" s="42" t="str">
        <f>IF(IFERROR(VLOOKUP($F11,$P:$P,1,1),0)&gt;=G$2,"o","-")</f>
        <v>o</v>
      </c>
      <c r="H11" s="43" t="str">
        <f>IF(IFERROR(VLOOKUP($F11,$P:$P,1,1),0)&gt;=H$2,"o","-")</f>
        <v>o</v>
      </c>
      <c r="I11" s="43" t="str">
        <f>IF(IFERROR(VLOOKUP($F11,$P:$P,1,1),0)&gt;=I$2,"o","-")</f>
        <v>-</v>
      </c>
      <c r="J11" s="43" t="str">
        <f>IF(IFERROR(VLOOKUP($F11,$P:$P,1,1),0)&gt;=J$2,"o","-")</f>
        <v>-</v>
      </c>
      <c r="K11" s="43" t="str">
        <f>IF(IFERROR(VLOOKUP($F11,$P:$P,1,1),0)&gt;=K$2,"o","-")</f>
        <v>-</v>
      </c>
      <c r="L11" s="43" t="str">
        <f>IF(IFERROR(VLOOKUP($F11,$P:$P,1,1),0)&gt;=L$2,"o","-")</f>
        <v>-</v>
      </c>
      <c r="M11" s="43" t="str">
        <f>IF(IFERROR(VLOOKUP($F11,$P:$P,1,1),0)&gt;=M$2,"o","-")</f>
        <v>-</v>
      </c>
      <c r="N11" s="12">
        <f>IFERROR(VLOOKUP(F11,$P:$R,3,1),0)</f>
        <v>150000</v>
      </c>
      <c r="O11" s="35"/>
      <c r="P11" s="35"/>
      <c r="Q11" s="40"/>
      <c r="R11" s="35"/>
      <c r="S11" s="35"/>
      <c r="T11" s="35"/>
      <c r="U11" s="35"/>
    </row>
    <row r="12" spans="2:21">
      <c r="B12" s="9">
        <v>7</v>
      </c>
      <c r="C12" s="10" t="s">
        <v>7</v>
      </c>
      <c r="D12" s="10" t="s">
        <v>195</v>
      </c>
      <c r="E12" s="58">
        <v>40709172</v>
      </c>
      <c r="F12" s="39">
        <v>4</v>
      </c>
      <c r="G12" s="42" t="str">
        <f>IF(IFERROR(VLOOKUP($F12,$P:$P,1,1),0)&gt;=G$2,"o","-")</f>
        <v>o</v>
      </c>
      <c r="H12" s="43" t="str">
        <f>IF(IFERROR(VLOOKUP($F12,$P:$P,1,1),0)&gt;=H$2,"o","-")</f>
        <v>o</v>
      </c>
      <c r="I12" s="43" t="str">
        <f>IF(IFERROR(VLOOKUP($F12,$P:$P,1,1),0)&gt;=I$2,"o","-")</f>
        <v>-</v>
      </c>
      <c r="J12" s="43" t="str">
        <f>IF(IFERROR(VLOOKUP($F12,$P:$P,1,1),0)&gt;=J$2,"o","-")</f>
        <v>-</v>
      </c>
      <c r="K12" s="43" t="str">
        <f>IF(IFERROR(VLOOKUP($F12,$P:$P,1,1),0)&gt;=K$2,"o","-")</f>
        <v>-</v>
      </c>
      <c r="L12" s="43" t="str">
        <f>IF(IFERROR(VLOOKUP($F12,$P:$P,1,1),0)&gt;=L$2,"o","-")</f>
        <v>-</v>
      </c>
      <c r="M12" s="43" t="str">
        <f>IF(IFERROR(VLOOKUP($F12,$P:$P,1,1),0)&gt;=M$2,"o","-")</f>
        <v>-</v>
      </c>
      <c r="N12" s="12">
        <f>IFERROR(VLOOKUP(F12,$P:$R,3,1),0)</f>
        <v>150000</v>
      </c>
      <c r="O12" s="35"/>
      <c r="P12" s="35"/>
      <c r="Q12" s="40"/>
      <c r="R12" s="35"/>
      <c r="S12" s="35"/>
      <c r="T12" s="35"/>
      <c r="U12" s="35"/>
    </row>
    <row r="13" spans="2:21">
      <c r="B13" s="9">
        <v>8</v>
      </c>
      <c r="C13" s="10" t="s">
        <v>8</v>
      </c>
      <c r="D13" s="10" t="s">
        <v>196</v>
      </c>
      <c r="E13" s="58">
        <v>41605446</v>
      </c>
      <c r="F13" s="39">
        <v>4</v>
      </c>
      <c r="G13" s="42" t="str">
        <f>IF(IFERROR(VLOOKUP($F13,$P:$P,1,1),0)&gt;=G$2,"o","-")</f>
        <v>o</v>
      </c>
      <c r="H13" s="43" t="str">
        <f>IF(IFERROR(VLOOKUP($F13,$P:$P,1,1),0)&gt;=H$2,"o","-")</f>
        <v>o</v>
      </c>
      <c r="I13" s="43" t="str">
        <f>IF(IFERROR(VLOOKUP($F13,$P:$P,1,1),0)&gt;=I$2,"o","-")</f>
        <v>-</v>
      </c>
      <c r="J13" s="43" t="str">
        <f>IF(IFERROR(VLOOKUP($F13,$P:$P,1,1),0)&gt;=J$2,"o","-")</f>
        <v>-</v>
      </c>
      <c r="K13" s="43" t="str">
        <f>IF(IFERROR(VLOOKUP($F13,$P:$P,1,1),0)&gt;=K$2,"o","-")</f>
        <v>-</v>
      </c>
      <c r="L13" s="43" t="str">
        <f>IF(IFERROR(VLOOKUP($F13,$P:$P,1,1),0)&gt;=L$2,"o","-")</f>
        <v>-</v>
      </c>
      <c r="M13" s="43" t="str">
        <f>IF(IFERROR(VLOOKUP($F13,$P:$P,1,1),0)&gt;=M$2,"o","-")</f>
        <v>-</v>
      </c>
      <c r="N13" s="12">
        <f>IFERROR(VLOOKUP(F13,$P:$R,3,1),0)</f>
        <v>150000</v>
      </c>
      <c r="O13" s="35"/>
      <c r="P13" s="35"/>
      <c r="Q13" s="40"/>
      <c r="R13" s="35"/>
      <c r="S13" s="35"/>
      <c r="T13" s="35"/>
      <c r="U13" s="35"/>
    </row>
    <row r="14" spans="2:21">
      <c r="B14" s="9">
        <v>9</v>
      </c>
      <c r="C14" s="10" t="s">
        <v>9</v>
      </c>
      <c r="D14" s="10" t="s">
        <v>197</v>
      </c>
      <c r="E14" s="58">
        <v>41805372</v>
      </c>
      <c r="F14" s="39">
        <v>4</v>
      </c>
      <c r="G14" s="42" t="str">
        <f>IF(IFERROR(VLOOKUP($F14,$P:$P,1,1),0)&gt;=G$2,"o","-")</f>
        <v>o</v>
      </c>
      <c r="H14" s="43" t="str">
        <f>IF(IFERROR(VLOOKUP($F14,$P:$P,1,1),0)&gt;=H$2,"o","-")</f>
        <v>o</v>
      </c>
      <c r="I14" s="43" t="str">
        <f>IF(IFERROR(VLOOKUP($F14,$P:$P,1,1),0)&gt;=I$2,"o","-")</f>
        <v>-</v>
      </c>
      <c r="J14" s="43" t="str">
        <f>IF(IFERROR(VLOOKUP($F14,$P:$P,1,1),0)&gt;=J$2,"o","-")</f>
        <v>-</v>
      </c>
      <c r="K14" s="43" t="str">
        <f>IF(IFERROR(VLOOKUP($F14,$P:$P,1,1),0)&gt;=K$2,"o","-")</f>
        <v>-</v>
      </c>
      <c r="L14" s="43" t="str">
        <f>IF(IFERROR(VLOOKUP($F14,$P:$P,1,1),0)&gt;=L$2,"o","-")</f>
        <v>-</v>
      </c>
      <c r="M14" s="43" t="str">
        <f>IF(IFERROR(VLOOKUP($F14,$P:$P,1,1),0)&gt;=M$2,"o","-")</f>
        <v>-</v>
      </c>
      <c r="N14" s="12">
        <f>IFERROR(VLOOKUP(F14,$P:$R,3,1),0)</f>
        <v>150000</v>
      </c>
      <c r="O14" s="35"/>
      <c r="P14" s="35"/>
      <c r="Q14" s="40"/>
      <c r="R14" s="35"/>
      <c r="S14" s="35"/>
      <c r="T14" s="35"/>
      <c r="U14" s="35"/>
    </row>
    <row r="15" spans="2:21">
      <c r="B15" s="9">
        <v>10</v>
      </c>
      <c r="C15" s="10" t="s">
        <v>10</v>
      </c>
      <c r="D15" s="10" t="s">
        <v>198</v>
      </c>
      <c r="E15" s="58">
        <v>42402189</v>
      </c>
      <c r="F15" s="39">
        <v>4</v>
      </c>
      <c r="G15" s="42" t="str">
        <f>IF(IFERROR(VLOOKUP($F15,$P:$P,1,1),0)&gt;=G$2,"o","-")</f>
        <v>o</v>
      </c>
      <c r="H15" s="43" t="str">
        <f>IF(IFERROR(VLOOKUP($F15,$P:$P,1,1),0)&gt;=H$2,"o","-")</f>
        <v>o</v>
      </c>
      <c r="I15" s="43" t="str">
        <f>IF(IFERROR(VLOOKUP($F15,$P:$P,1,1),0)&gt;=I$2,"o","-")</f>
        <v>-</v>
      </c>
      <c r="J15" s="43" t="str">
        <f>IF(IFERROR(VLOOKUP($F15,$P:$P,1,1),0)&gt;=J$2,"o","-")</f>
        <v>-</v>
      </c>
      <c r="K15" s="43" t="str">
        <f>IF(IFERROR(VLOOKUP($F15,$P:$P,1,1),0)&gt;=K$2,"o","-")</f>
        <v>-</v>
      </c>
      <c r="L15" s="43" t="str">
        <f>IF(IFERROR(VLOOKUP($F15,$P:$P,1,1),0)&gt;=L$2,"o","-")</f>
        <v>-</v>
      </c>
      <c r="M15" s="43" t="str">
        <f>IF(IFERROR(VLOOKUP($F15,$P:$P,1,1),0)&gt;=M$2,"o","-")</f>
        <v>-</v>
      </c>
      <c r="N15" s="12">
        <f>IFERROR(VLOOKUP(F15,$P:$R,3,1),0)</f>
        <v>150000</v>
      </c>
      <c r="O15" s="35"/>
      <c r="P15" s="35"/>
      <c r="Q15" s="40"/>
      <c r="R15" s="35"/>
      <c r="S15" s="35"/>
      <c r="T15" s="35"/>
      <c r="U15" s="35"/>
    </row>
    <row r="16" spans="2:21">
      <c r="B16" s="9">
        <v>11</v>
      </c>
      <c r="C16" s="10" t="s">
        <v>11</v>
      </c>
      <c r="D16" s="10" t="s">
        <v>199</v>
      </c>
      <c r="E16" s="58">
        <v>42201254</v>
      </c>
      <c r="F16" s="39">
        <v>2</v>
      </c>
      <c r="G16" s="42" t="str">
        <f>IF(IFERROR(VLOOKUP($F16,$P:$P,1,1),0)&gt;=G$2,"o","-")</f>
        <v>o</v>
      </c>
      <c r="H16" s="43" t="str">
        <f>IF(IFERROR(VLOOKUP($F16,$P:$P,1,1),0)&gt;=H$2,"o","-")</f>
        <v>-</v>
      </c>
      <c r="I16" s="43" t="str">
        <f>IF(IFERROR(VLOOKUP($F16,$P:$P,1,1),0)&gt;=I$2,"o","-")</f>
        <v>-</v>
      </c>
      <c r="J16" s="43" t="str">
        <f>IF(IFERROR(VLOOKUP($F16,$P:$P,1,1),0)&gt;=J$2,"o","-")</f>
        <v>-</v>
      </c>
      <c r="K16" s="43" t="str">
        <f>IF(IFERROR(VLOOKUP($F16,$P:$P,1,1),0)&gt;=K$2,"o","-")</f>
        <v>-</v>
      </c>
      <c r="L16" s="43" t="str">
        <f>IF(IFERROR(VLOOKUP($F16,$P:$P,1,1),0)&gt;=L$2,"o","-")</f>
        <v>-</v>
      </c>
      <c r="M16" s="43" t="str">
        <f>IF(IFERROR(VLOOKUP($F16,$P:$P,1,1),0)&gt;=M$2,"o","-")</f>
        <v>-</v>
      </c>
      <c r="N16" s="12">
        <f>IFERROR(VLOOKUP(F16,$P:$R,3,1),0)</f>
        <v>50000</v>
      </c>
      <c r="O16" s="35"/>
      <c r="P16" s="35"/>
      <c r="Q16" s="40"/>
      <c r="R16" s="35"/>
      <c r="S16" s="35"/>
      <c r="T16" s="35"/>
      <c r="U16" s="35"/>
    </row>
    <row r="17" spans="2:16">
      <c r="B17" s="9">
        <v>12</v>
      </c>
      <c r="C17" s="10" t="s">
        <v>12</v>
      </c>
      <c r="D17" s="10" t="s">
        <v>200</v>
      </c>
      <c r="E17" s="58">
        <v>31600514</v>
      </c>
      <c r="F17" s="39">
        <v>2</v>
      </c>
      <c r="G17" s="42" t="str">
        <f>IF(IFERROR(VLOOKUP($F17,$P:$P,1,1),0)&gt;=G$2,"o","-")</f>
        <v>o</v>
      </c>
      <c r="H17" s="43" t="str">
        <f>IF(IFERROR(VLOOKUP($F17,$P:$P,1,1),0)&gt;=H$2,"o","-")</f>
        <v>-</v>
      </c>
      <c r="I17" s="43" t="str">
        <f>IF(IFERROR(VLOOKUP($F17,$P:$P,1,1),0)&gt;=I$2,"o","-")</f>
        <v>-</v>
      </c>
      <c r="J17" s="43" t="str">
        <f>IF(IFERROR(VLOOKUP($F17,$P:$P,1,1),0)&gt;=J$2,"o","-")</f>
        <v>-</v>
      </c>
      <c r="K17" s="43" t="str">
        <f>IF(IFERROR(VLOOKUP($F17,$P:$P,1,1),0)&gt;=K$2,"o","-")</f>
        <v>-</v>
      </c>
      <c r="L17" s="43" t="str">
        <f>IF(IFERROR(VLOOKUP($F17,$P:$P,1,1),0)&gt;=L$2,"o","-")</f>
        <v>-</v>
      </c>
      <c r="M17" s="43" t="str">
        <f>IF(IFERROR(VLOOKUP($F17,$P:$P,1,1),0)&gt;=M$2,"o","-")</f>
        <v>-</v>
      </c>
      <c r="N17" s="12">
        <f>IFERROR(VLOOKUP(F17,$P:$R,3,1),0)</f>
        <v>50000</v>
      </c>
    </row>
    <row r="18" spans="2:16">
      <c r="B18" s="9">
        <v>13</v>
      </c>
      <c r="C18" s="10" t="s">
        <v>13</v>
      </c>
      <c r="D18" s="10" t="s">
        <v>201</v>
      </c>
      <c r="E18" s="58">
        <v>32500451</v>
      </c>
      <c r="F18" s="39">
        <v>2</v>
      </c>
      <c r="G18" s="42" t="str">
        <f>IF(IFERROR(VLOOKUP($F18,$P:$P,1,1),0)&gt;=G$2,"o","-")</f>
        <v>o</v>
      </c>
      <c r="H18" s="43" t="str">
        <f>IF(IFERROR(VLOOKUP($F18,$P:$P,1,1),0)&gt;=H$2,"o","-")</f>
        <v>-</v>
      </c>
      <c r="I18" s="43" t="str">
        <f>IF(IFERROR(VLOOKUP($F18,$P:$P,1,1),0)&gt;=I$2,"o","-")</f>
        <v>-</v>
      </c>
      <c r="J18" s="43" t="str">
        <f>IF(IFERROR(VLOOKUP($F18,$P:$P,1,1),0)&gt;=J$2,"o","-")</f>
        <v>-</v>
      </c>
      <c r="K18" s="43" t="str">
        <f>IF(IFERROR(VLOOKUP($F18,$P:$P,1,1),0)&gt;=K$2,"o","-")</f>
        <v>-</v>
      </c>
      <c r="L18" s="43" t="str">
        <f>IF(IFERROR(VLOOKUP($F18,$P:$P,1,1),0)&gt;=L$2,"o","-")</f>
        <v>-</v>
      </c>
      <c r="M18" s="43" t="str">
        <f>IF(IFERROR(VLOOKUP($F18,$P:$P,1,1),0)&gt;=M$2,"o","-")</f>
        <v>-</v>
      </c>
      <c r="N18" s="12">
        <f>IFERROR(VLOOKUP(F18,$P:$R,3,1),0)</f>
        <v>50000</v>
      </c>
    </row>
    <row r="19" spans="2:16">
      <c r="B19" s="9">
        <v>14</v>
      </c>
      <c r="C19" s="10" t="s">
        <v>14</v>
      </c>
      <c r="D19" s="10" t="s">
        <v>202</v>
      </c>
      <c r="E19" s="58">
        <v>42000824</v>
      </c>
      <c r="F19" s="39">
        <v>2</v>
      </c>
      <c r="G19" s="42" t="str">
        <f>IF(IFERROR(VLOOKUP($F19,$P:$P,1,1),0)&gt;=G$2,"o","-")</f>
        <v>o</v>
      </c>
      <c r="H19" s="43" t="str">
        <f>IF(IFERROR(VLOOKUP($F19,$P:$P,1,1),0)&gt;=H$2,"o","-")</f>
        <v>-</v>
      </c>
      <c r="I19" s="43" t="str">
        <f>IF(IFERROR(VLOOKUP($F19,$P:$P,1,1),0)&gt;=I$2,"o","-")</f>
        <v>-</v>
      </c>
      <c r="J19" s="43" t="str">
        <f>IF(IFERROR(VLOOKUP($F19,$P:$P,1,1),0)&gt;=J$2,"o","-")</f>
        <v>-</v>
      </c>
      <c r="K19" s="43" t="str">
        <f>IF(IFERROR(VLOOKUP($F19,$P:$P,1,1),0)&gt;=K$2,"o","-")</f>
        <v>-</v>
      </c>
      <c r="L19" s="43" t="str">
        <f>IF(IFERROR(VLOOKUP($F19,$P:$P,1,1),0)&gt;=L$2,"o","-")</f>
        <v>-</v>
      </c>
      <c r="M19" s="43" t="str">
        <f>IF(IFERROR(VLOOKUP($F19,$P:$P,1,1),0)&gt;=M$2,"o","-")</f>
        <v>-</v>
      </c>
      <c r="N19" s="12">
        <f>IFERROR(VLOOKUP(F19,$P:$R,3,1),0)</f>
        <v>50000</v>
      </c>
      <c r="P19" t="s">
        <v>448</v>
      </c>
    </row>
    <row r="20" spans="2:16">
      <c r="B20" s="9">
        <v>15</v>
      </c>
      <c r="C20" s="10" t="s">
        <v>15</v>
      </c>
      <c r="D20" s="10" t="s">
        <v>203</v>
      </c>
      <c r="E20" s="58">
        <v>31903040</v>
      </c>
      <c r="F20" s="39">
        <v>2</v>
      </c>
      <c r="G20" s="42" t="str">
        <f>IF(IFERROR(VLOOKUP($F20,$P:$P,1,1),0)&gt;=G$2,"o","-")</f>
        <v>o</v>
      </c>
      <c r="H20" s="43" t="str">
        <f>IF(IFERROR(VLOOKUP($F20,$P:$P,1,1),0)&gt;=H$2,"o","-")</f>
        <v>-</v>
      </c>
      <c r="I20" s="43" t="str">
        <f>IF(IFERROR(VLOOKUP($F20,$P:$P,1,1),0)&gt;=I$2,"o","-")</f>
        <v>-</v>
      </c>
      <c r="J20" s="43" t="str">
        <f>IF(IFERROR(VLOOKUP($F20,$P:$P,1,1),0)&gt;=J$2,"o","-")</f>
        <v>-</v>
      </c>
      <c r="K20" s="43" t="str">
        <f>IF(IFERROR(VLOOKUP($F20,$P:$P,1,1),0)&gt;=K$2,"o","-")</f>
        <v>-</v>
      </c>
      <c r="L20" s="43" t="str">
        <f>IF(IFERROR(VLOOKUP($F20,$P:$P,1,1),0)&gt;=L$2,"o","-")</f>
        <v>-</v>
      </c>
      <c r="M20" s="43" t="str">
        <f>IF(IFERROR(VLOOKUP($F20,$P:$P,1,1),0)&gt;=M$2,"o","-")</f>
        <v>-</v>
      </c>
      <c r="N20" s="12">
        <f>IFERROR(VLOOKUP(F20,$P:$R,3,1),0)</f>
        <v>50000</v>
      </c>
      <c r="P20" t="s">
        <v>450</v>
      </c>
    </row>
    <row r="21" spans="2:16">
      <c r="B21" s="9">
        <v>16</v>
      </c>
      <c r="C21" s="10" t="s">
        <v>16</v>
      </c>
      <c r="D21" s="10" t="s">
        <v>204</v>
      </c>
      <c r="E21" s="58">
        <v>32406177</v>
      </c>
      <c r="F21" s="39">
        <v>2</v>
      </c>
      <c r="G21" s="42" t="str">
        <f>IF(IFERROR(VLOOKUP($F21,$P:$P,1,1),0)&gt;=G$2,"o","-")</f>
        <v>o</v>
      </c>
      <c r="H21" s="43" t="str">
        <f>IF(IFERROR(VLOOKUP($F21,$P:$P,1,1),0)&gt;=H$2,"o","-")</f>
        <v>-</v>
      </c>
      <c r="I21" s="43" t="str">
        <f>IF(IFERROR(VLOOKUP($F21,$P:$P,1,1),0)&gt;=I$2,"o","-")</f>
        <v>-</v>
      </c>
      <c r="J21" s="43" t="str">
        <f>IF(IFERROR(VLOOKUP($F21,$P:$P,1,1),0)&gt;=J$2,"o","-")</f>
        <v>-</v>
      </c>
      <c r="K21" s="43" t="str">
        <f>IF(IFERROR(VLOOKUP($F21,$P:$P,1,1),0)&gt;=K$2,"o","-")</f>
        <v>-</v>
      </c>
      <c r="L21" s="43" t="str">
        <f>IF(IFERROR(VLOOKUP($F21,$P:$P,1,1),0)&gt;=L$2,"o","-")</f>
        <v>-</v>
      </c>
      <c r="M21" s="43" t="str">
        <f>IF(IFERROR(VLOOKUP($F21,$P:$P,1,1),0)&gt;=M$2,"o","-")</f>
        <v>-</v>
      </c>
      <c r="N21" s="12">
        <f>IFERROR(VLOOKUP(F21,$P:$R,3,1),0)</f>
        <v>50000</v>
      </c>
      <c r="P21" t="s">
        <v>451</v>
      </c>
    </row>
    <row r="22" spans="2:16">
      <c r="B22" s="9">
        <v>17</v>
      </c>
      <c r="C22" s="10" t="s">
        <v>17</v>
      </c>
      <c r="D22" s="10" t="s">
        <v>205</v>
      </c>
      <c r="E22" s="58">
        <v>40604330</v>
      </c>
      <c r="F22" s="39">
        <v>2</v>
      </c>
      <c r="G22" s="42" t="str">
        <f>IF(IFERROR(VLOOKUP($F22,$P:$P,1,1),0)&gt;=G$2,"o","-")</f>
        <v>o</v>
      </c>
      <c r="H22" s="43" t="str">
        <f>IF(IFERROR(VLOOKUP($F22,$P:$P,1,1),0)&gt;=H$2,"o","-")</f>
        <v>-</v>
      </c>
      <c r="I22" s="43" t="str">
        <f>IF(IFERROR(VLOOKUP($F22,$P:$P,1,1),0)&gt;=I$2,"o","-")</f>
        <v>-</v>
      </c>
      <c r="J22" s="43" t="str">
        <f>IF(IFERROR(VLOOKUP($F22,$P:$P,1,1),0)&gt;=J$2,"o","-")</f>
        <v>-</v>
      </c>
      <c r="K22" s="43" t="str">
        <f>IF(IFERROR(VLOOKUP($F22,$P:$P,1,1),0)&gt;=K$2,"o","-")</f>
        <v>-</v>
      </c>
      <c r="L22" s="43" t="str">
        <f>IF(IFERROR(VLOOKUP($F22,$P:$P,1,1),0)&gt;=L$2,"o","-")</f>
        <v>-</v>
      </c>
      <c r="M22" s="43" t="str">
        <f>IF(IFERROR(VLOOKUP($F22,$P:$P,1,1),0)&gt;=M$2,"o","-")</f>
        <v>-</v>
      </c>
      <c r="N22" s="12">
        <f>IFERROR(VLOOKUP(F22,$P:$R,3,1),0)</f>
        <v>50000</v>
      </c>
    </row>
    <row r="23" spans="2:16">
      <c r="B23" s="9">
        <v>18</v>
      </c>
      <c r="C23" s="10" t="s">
        <v>18</v>
      </c>
      <c r="D23" s="10" t="s">
        <v>206</v>
      </c>
      <c r="E23" s="58">
        <v>31804446</v>
      </c>
      <c r="F23" s="39">
        <v>2</v>
      </c>
      <c r="G23" s="42" t="str">
        <f>IF(IFERROR(VLOOKUP($F23,$P:$P,1,1),0)&gt;=G$2,"o","-")</f>
        <v>o</v>
      </c>
      <c r="H23" s="43" t="str">
        <f>IF(IFERROR(VLOOKUP($F23,$P:$P,1,1),0)&gt;=H$2,"o","-")</f>
        <v>-</v>
      </c>
      <c r="I23" s="43" t="str">
        <f>IF(IFERROR(VLOOKUP($F23,$P:$P,1,1),0)&gt;=I$2,"o","-")</f>
        <v>-</v>
      </c>
      <c r="J23" s="43" t="str">
        <f>IF(IFERROR(VLOOKUP($F23,$P:$P,1,1),0)&gt;=J$2,"o","-")</f>
        <v>-</v>
      </c>
      <c r="K23" s="43" t="str">
        <f>IF(IFERROR(VLOOKUP($F23,$P:$P,1,1),0)&gt;=K$2,"o","-")</f>
        <v>-</v>
      </c>
      <c r="L23" s="43" t="str">
        <f>IF(IFERROR(VLOOKUP($F23,$P:$P,1,1),0)&gt;=L$2,"o","-")</f>
        <v>-</v>
      </c>
      <c r="M23" s="43" t="str">
        <f>IF(IFERROR(VLOOKUP($F23,$P:$P,1,1),0)&gt;=M$2,"o","-")</f>
        <v>-</v>
      </c>
      <c r="N23" s="12">
        <f>IFERROR(VLOOKUP(F23,$P:$R,3,1),0)</f>
        <v>50000</v>
      </c>
      <c r="P23" t="s">
        <v>449</v>
      </c>
    </row>
    <row r="24" spans="2:16">
      <c r="B24" s="9">
        <v>19</v>
      </c>
      <c r="C24" s="10" t="s">
        <v>19</v>
      </c>
      <c r="D24" s="10" t="s">
        <v>207</v>
      </c>
      <c r="E24" s="58">
        <v>41507265</v>
      </c>
      <c r="F24" s="39">
        <v>2</v>
      </c>
      <c r="G24" s="42" t="str">
        <f>IF(IFERROR(VLOOKUP($F24,$P:$P,1,1),0)&gt;=G$2,"o","-")</f>
        <v>o</v>
      </c>
      <c r="H24" s="43" t="str">
        <f>IF(IFERROR(VLOOKUP($F24,$P:$P,1,1),0)&gt;=H$2,"o","-")</f>
        <v>-</v>
      </c>
      <c r="I24" s="43" t="str">
        <f>IF(IFERROR(VLOOKUP($F24,$P:$P,1,1),0)&gt;=I$2,"o","-")</f>
        <v>-</v>
      </c>
      <c r="J24" s="43" t="str">
        <f>IF(IFERROR(VLOOKUP($F24,$P:$P,1,1),0)&gt;=J$2,"o","-")</f>
        <v>-</v>
      </c>
      <c r="K24" s="43" t="str">
        <f>IF(IFERROR(VLOOKUP($F24,$P:$P,1,1),0)&gt;=K$2,"o","-")</f>
        <v>-</v>
      </c>
      <c r="L24" s="43" t="str">
        <f>IF(IFERROR(VLOOKUP($F24,$P:$P,1,1),0)&gt;=L$2,"o","-")</f>
        <v>-</v>
      </c>
      <c r="M24" s="43" t="str">
        <f>IF(IFERROR(VLOOKUP($F24,$P:$P,1,1),0)&gt;=M$2,"o","-")</f>
        <v>-</v>
      </c>
      <c r="N24" s="12">
        <f>IFERROR(VLOOKUP(F24,$P:$R,3,1),0)</f>
        <v>50000</v>
      </c>
      <c r="P24" t="s">
        <v>452</v>
      </c>
    </row>
    <row r="25" spans="2:16">
      <c r="B25" s="9">
        <v>20</v>
      </c>
      <c r="C25" s="10" t="s">
        <v>20</v>
      </c>
      <c r="D25" s="10" t="s">
        <v>208</v>
      </c>
      <c r="E25" s="58">
        <v>31504061</v>
      </c>
      <c r="F25" s="39">
        <v>2</v>
      </c>
      <c r="G25" s="42" t="str">
        <f>IF(IFERROR(VLOOKUP($F25,$P:$P,1,1),0)&gt;=G$2,"o","-")</f>
        <v>o</v>
      </c>
      <c r="H25" s="43" t="str">
        <f>IF(IFERROR(VLOOKUP($F25,$P:$P,1,1),0)&gt;=H$2,"o","-")</f>
        <v>-</v>
      </c>
      <c r="I25" s="43" t="str">
        <f>IF(IFERROR(VLOOKUP($F25,$P:$P,1,1),0)&gt;=I$2,"o","-")</f>
        <v>-</v>
      </c>
      <c r="J25" s="43" t="str">
        <f>IF(IFERROR(VLOOKUP($F25,$P:$P,1,1),0)&gt;=J$2,"o","-")</f>
        <v>-</v>
      </c>
      <c r="K25" s="43" t="str">
        <f>IF(IFERROR(VLOOKUP($F25,$P:$P,1,1),0)&gt;=K$2,"o","-")</f>
        <v>-</v>
      </c>
      <c r="L25" s="43" t="str">
        <f>IF(IFERROR(VLOOKUP($F25,$P:$P,1,1),0)&gt;=L$2,"o","-")</f>
        <v>-</v>
      </c>
      <c r="M25" s="43" t="str">
        <f>IF(IFERROR(VLOOKUP($F25,$P:$P,1,1),0)&gt;=M$2,"o","-")</f>
        <v>-</v>
      </c>
      <c r="N25" s="12">
        <f>IFERROR(VLOOKUP(F25,$P:$R,3,1),0)</f>
        <v>50000</v>
      </c>
    </row>
    <row r="26" spans="2:16">
      <c r="B26" s="9">
        <v>21</v>
      </c>
      <c r="C26" s="10" t="s">
        <v>21</v>
      </c>
      <c r="D26" s="10" t="s">
        <v>209</v>
      </c>
      <c r="E26" s="58">
        <v>32002544</v>
      </c>
      <c r="F26" s="39">
        <v>2</v>
      </c>
      <c r="G26" s="42" t="str">
        <f>IF(IFERROR(VLOOKUP($F26,$P:$P,1,1),0)&gt;=G$2,"o","-")</f>
        <v>o</v>
      </c>
      <c r="H26" s="43" t="str">
        <f>IF(IFERROR(VLOOKUP($F26,$P:$P,1,1),0)&gt;=H$2,"o","-")</f>
        <v>-</v>
      </c>
      <c r="I26" s="43" t="str">
        <f>IF(IFERROR(VLOOKUP($F26,$P:$P,1,1),0)&gt;=I$2,"o","-")</f>
        <v>-</v>
      </c>
      <c r="J26" s="43" t="str">
        <f>IF(IFERROR(VLOOKUP($F26,$P:$P,1,1),0)&gt;=J$2,"o","-")</f>
        <v>-</v>
      </c>
      <c r="K26" s="43" t="str">
        <f>IF(IFERROR(VLOOKUP($F26,$P:$P,1,1),0)&gt;=K$2,"o","-")</f>
        <v>-</v>
      </c>
      <c r="L26" s="43" t="str">
        <f>IF(IFERROR(VLOOKUP($F26,$P:$P,1,1),0)&gt;=L$2,"o","-")</f>
        <v>-</v>
      </c>
      <c r="M26" s="43" t="str">
        <f>IF(IFERROR(VLOOKUP($F26,$P:$P,1,1),0)&gt;=M$2,"o","-")</f>
        <v>-</v>
      </c>
      <c r="N26" s="12">
        <f>IFERROR(VLOOKUP(F26,$P:$R,3,1),0)</f>
        <v>50000</v>
      </c>
    </row>
    <row r="27" spans="2:16">
      <c r="B27" s="9">
        <v>22</v>
      </c>
      <c r="C27" s="10" t="s">
        <v>22</v>
      </c>
      <c r="D27" s="10" t="s">
        <v>210</v>
      </c>
      <c r="E27" s="58">
        <v>32408841</v>
      </c>
      <c r="F27" s="39">
        <v>2</v>
      </c>
      <c r="G27" s="42" t="str">
        <f>IF(IFERROR(VLOOKUP($F27,$P:$P,1,1),0)&gt;=G$2,"o","-")</f>
        <v>o</v>
      </c>
      <c r="H27" s="43" t="str">
        <f>IF(IFERROR(VLOOKUP($F27,$P:$P,1,1),0)&gt;=H$2,"o","-")</f>
        <v>-</v>
      </c>
      <c r="I27" s="43" t="str">
        <f>IF(IFERROR(VLOOKUP($F27,$P:$P,1,1),0)&gt;=I$2,"o","-")</f>
        <v>-</v>
      </c>
      <c r="J27" s="43" t="str">
        <f>IF(IFERROR(VLOOKUP($F27,$P:$P,1,1),0)&gt;=J$2,"o","-")</f>
        <v>-</v>
      </c>
      <c r="K27" s="43" t="str">
        <f>IF(IFERROR(VLOOKUP($F27,$P:$P,1,1),0)&gt;=K$2,"o","-")</f>
        <v>-</v>
      </c>
      <c r="L27" s="43" t="str">
        <f>IF(IFERROR(VLOOKUP($F27,$P:$P,1,1),0)&gt;=L$2,"o","-")</f>
        <v>-</v>
      </c>
      <c r="M27" s="43" t="str">
        <f>IF(IFERROR(VLOOKUP($F27,$P:$P,1,1),0)&gt;=M$2,"o","-")</f>
        <v>-</v>
      </c>
      <c r="N27" s="12">
        <f>IFERROR(VLOOKUP(F27,$P:$R,3,1),0)</f>
        <v>50000</v>
      </c>
    </row>
    <row r="28" spans="2:16">
      <c r="B28" s="9">
        <v>23</v>
      </c>
      <c r="C28" s="10" t="s">
        <v>23</v>
      </c>
      <c r="D28" s="10" t="s">
        <v>211</v>
      </c>
      <c r="E28" s="58">
        <v>41900231</v>
      </c>
      <c r="F28" s="39">
        <v>2</v>
      </c>
      <c r="G28" s="42" t="str">
        <f>IF(IFERROR(VLOOKUP($F28,$P:$P,1,1),0)&gt;=G$2,"o","-")</f>
        <v>o</v>
      </c>
      <c r="H28" s="43" t="str">
        <f>IF(IFERROR(VLOOKUP($F28,$P:$P,1,1),0)&gt;=H$2,"o","-")</f>
        <v>-</v>
      </c>
      <c r="I28" s="43" t="str">
        <f>IF(IFERROR(VLOOKUP($F28,$P:$P,1,1),0)&gt;=I$2,"o","-")</f>
        <v>-</v>
      </c>
      <c r="J28" s="43" t="str">
        <f>IF(IFERROR(VLOOKUP($F28,$P:$P,1,1),0)&gt;=J$2,"o","-")</f>
        <v>-</v>
      </c>
      <c r="K28" s="43" t="str">
        <f>IF(IFERROR(VLOOKUP($F28,$P:$P,1,1),0)&gt;=K$2,"o","-")</f>
        <v>-</v>
      </c>
      <c r="L28" s="43" t="str">
        <f>IF(IFERROR(VLOOKUP($F28,$P:$P,1,1),0)&gt;=L$2,"o","-")</f>
        <v>-</v>
      </c>
      <c r="M28" s="43" t="str">
        <f>IF(IFERROR(VLOOKUP($F28,$P:$P,1,1),0)&gt;=M$2,"o","-")</f>
        <v>-</v>
      </c>
      <c r="N28" s="12">
        <f>IFERROR(VLOOKUP(F28,$P:$R,3,1),0)</f>
        <v>50000</v>
      </c>
    </row>
    <row r="29" spans="2:16">
      <c r="B29" s="9">
        <v>24</v>
      </c>
      <c r="C29" s="10" t="s">
        <v>24</v>
      </c>
      <c r="D29" s="10" t="s">
        <v>212</v>
      </c>
      <c r="E29" s="58">
        <v>41000618</v>
      </c>
      <c r="F29" s="39">
        <v>2</v>
      </c>
      <c r="G29" s="42" t="str">
        <f>IF(IFERROR(VLOOKUP($F29,$P:$P,1,1),0)&gt;=G$2,"o","-")</f>
        <v>o</v>
      </c>
      <c r="H29" s="43" t="str">
        <f>IF(IFERROR(VLOOKUP($F29,$P:$P,1,1),0)&gt;=H$2,"o","-")</f>
        <v>-</v>
      </c>
      <c r="I29" s="43" t="str">
        <f>IF(IFERROR(VLOOKUP($F29,$P:$P,1,1),0)&gt;=I$2,"o","-")</f>
        <v>-</v>
      </c>
      <c r="J29" s="43" t="str">
        <f>IF(IFERROR(VLOOKUP($F29,$P:$P,1,1),0)&gt;=J$2,"o","-")</f>
        <v>-</v>
      </c>
      <c r="K29" s="43" t="str">
        <f>IF(IFERROR(VLOOKUP($F29,$P:$P,1,1),0)&gt;=K$2,"o","-")</f>
        <v>-</v>
      </c>
      <c r="L29" s="43" t="str">
        <f>IF(IFERROR(VLOOKUP($F29,$P:$P,1,1),0)&gt;=L$2,"o","-")</f>
        <v>-</v>
      </c>
      <c r="M29" s="43" t="str">
        <f>IF(IFERROR(VLOOKUP($F29,$P:$P,1,1),0)&gt;=M$2,"o","-")</f>
        <v>-</v>
      </c>
      <c r="N29" s="12">
        <f>IFERROR(VLOOKUP(F29,$P:$R,3,1),0)</f>
        <v>50000</v>
      </c>
    </row>
    <row r="30" spans="2:16">
      <c r="B30" s="9">
        <v>25</v>
      </c>
      <c r="C30" s="10" t="s">
        <v>25</v>
      </c>
      <c r="D30" s="10" t="s">
        <v>213</v>
      </c>
      <c r="E30" s="58">
        <v>40800549</v>
      </c>
      <c r="F30" s="39">
        <v>2</v>
      </c>
      <c r="G30" s="42" t="str">
        <f>IF(IFERROR(VLOOKUP($F30,$P:$P,1,1),0)&gt;=G$2,"o","-")</f>
        <v>o</v>
      </c>
      <c r="H30" s="43" t="str">
        <f>IF(IFERROR(VLOOKUP($F30,$P:$P,1,1),0)&gt;=H$2,"o","-")</f>
        <v>-</v>
      </c>
      <c r="I30" s="43" t="str">
        <f>IF(IFERROR(VLOOKUP($F30,$P:$P,1,1),0)&gt;=I$2,"o","-")</f>
        <v>-</v>
      </c>
      <c r="J30" s="43" t="str">
        <f>IF(IFERROR(VLOOKUP($F30,$P:$P,1,1),0)&gt;=J$2,"o","-")</f>
        <v>-</v>
      </c>
      <c r="K30" s="43" t="str">
        <f>IF(IFERROR(VLOOKUP($F30,$P:$P,1,1),0)&gt;=K$2,"o","-")</f>
        <v>-</v>
      </c>
      <c r="L30" s="43" t="str">
        <f>IF(IFERROR(VLOOKUP($F30,$P:$P,1,1),0)&gt;=L$2,"o","-")</f>
        <v>-</v>
      </c>
      <c r="M30" s="43" t="str">
        <f>IF(IFERROR(VLOOKUP($F30,$P:$P,1,1),0)&gt;=M$2,"o","-")</f>
        <v>-</v>
      </c>
      <c r="N30" s="12">
        <f>IFERROR(VLOOKUP(F30,$P:$R,3,1),0)</f>
        <v>50000</v>
      </c>
    </row>
    <row r="31" spans="2:16">
      <c r="B31" s="9">
        <v>26</v>
      </c>
      <c r="C31" s="10" t="s">
        <v>26</v>
      </c>
      <c r="D31" s="10" t="s">
        <v>214</v>
      </c>
      <c r="E31" s="58">
        <v>41300129</v>
      </c>
      <c r="F31" s="39">
        <v>2</v>
      </c>
      <c r="G31" s="42" t="str">
        <f>IF(IFERROR(VLOOKUP($F31,$P:$P,1,1),0)&gt;=G$2,"o","-")</f>
        <v>o</v>
      </c>
      <c r="H31" s="43" t="str">
        <f>IF(IFERROR(VLOOKUP($F31,$P:$P,1,1),0)&gt;=H$2,"o","-")</f>
        <v>-</v>
      </c>
      <c r="I31" s="43" t="str">
        <f>IF(IFERROR(VLOOKUP($F31,$P:$P,1,1),0)&gt;=I$2,"o","-")</f>
        <v>-</v>
      </c>
      <c r="J31" s="43" t="str">
        <f>IF(IFERROR(VLOOKUP($F31,$P:$P,1,1),0)&gt;=J$2,"o","-")</f>
        <v>-</v>
      </c>
      <c r="K31" s="43" t="str">
        <f>IF(IFERROR(VLOOKUP($F31,$P:$P,1,1),0)&gt;=K$2,"o","-")</f>
        <v>-</v>
      </c>
      <c r="L31" s="43" t="str">
        <f>IF(IFERROR(VLOOKUP($F31,$P:$P,1,1),0)&gt;=L$2,"o","-")</f>
        <v>-</v>
      </c>
      <c r="M31" s="43" t="str">
        <f>IF(IFERROR(VLOOKUP($F31,$P:$P,1,1),0)&gt;=M$2,"o","-")</f>
        <v>-</v>
      </c>
      <c r="N31" s="12">
        <f>IFERROR(VLOOKUP(F31,$P:$R,3,1),0)</f>
        <v>50000</v>
      </c>
    </row>
    <row r="32" spans="2:16">
      <c r="B32" s="9">
        <v>27</v>
      </c>
      <c r="C32" s="10" t="s">
        <v>27</v>
      </c>
      <c r="D32" s="10" t="s">
        <v>215</v>
      </c>
      <c r="E32" s="58">
        <v>42201245</v>
      </c>
      <c r="F32" s="39">
        <v>2</v>
      </c>
      <c r="G32" s="42" t="str">
        <f>IF(IFERROR(VLOOKUP($F32,$P:$P,1,1),0)&gt;=G$2,"o","-")</f>
        <v>o</v>
      </c>
      <c r="H32" s="43" t="str">
        <f>IF(IFERROR(VLOOKUP($F32,$P:$P,1,1),0)&gt;=H$2,"o","-")</f>
        <v>-</v>
      </c>
      <c r="I32" s="43" t="str">
        <f>IF(IFERROR(VLOOKUP($F32,$P:$P,1,1),0)&gt;=I$2,"o","-")</f>
        <v>-</v>
      </c>
      <c r="J32" s="43" t="str">
        <f>IF(IFERROR(VLOOKUP($F32,$P:$P,1,1),0)&gt;=J$2,"o","-")</f>
        <v>-</v>
      </c>
      <c r="K32" s="43" t="str">
        <f>IF(IFERROR(VLOOKUP($F32,$P:$P,1,1),0)&gt;=K$2,"o","-")</f>
        <v>-</v>
      </c>
      <c r="L32" s="43" t="str">
        <f>IF(IFERROR(VLOOKUP($F32,$P:$P,1,1),0)&gt;=L$2,"o","-")</f>
        <v>-</v>
      </c>
      <c r="M32" s="43" t="str">
        <f>IF(IFERROR(VLOOKUP($F32,$P:$P,1,1),0)&gt;=M$2,"o","-")</f>
        <v>-</v>
      </c>
      <c r="N32" s="12">
        <f>IFERROR(VLOOKUP(F32,$P:$R,3,1),0)</f>
        <v>50000</v>
      </c>
    </row>
    <row r="33" spans="2:14">
      <c r="B33" s="9">
        <v>28</v>
      </c>
      <c r="C33" s="10" t="s">
        <v>28</v>
      </c>
      <c r="D33" s="10" t="s">
        <v>216</v>
      </c>
      <c r="E33" s="58">
        <v>32409200</v>
      </c>
      <c r="F33" s="39">
        <v>2</v>
      </c>
      <c r="G33" s="42" t="str">
        <f>IF(IFERROR(VLOOKUP($F33,$P:$P,1,1),0)&gt;=G$2,"o","-")</f>
        <v>o</v>
      </c>
      <c r="H33" s="43" t="str">
        <f>IF(IFERROR(VLOOKUP($F33,$P:$P,1,1),0)&gt;=H$2,"o","-")</f>
        <v>-</v>
      </c>
      <c r="I33" s="43" t="str">
        <f>IF(IFERROR(VLOOKUP($F33,$P:$P,1,1),0)&gt;=I$2,"o","-")</f>
        <v>-</v>
      </c>
      <c r="J33" s="43" t="str">
        <f>IF(IFERROR(VLOOKUP($F33,$P:$P,1,1),0)&gt;=J$2,"o","-")</f>
        <v>-</v>
      </c>
      <c r="K33" s="43" t="str">
        <f>IF(IFERROR(VLOOKUP($F33,$P:$P,1,1),0)&gt;=K$2,"o","-")</f>
        <v>-</v>
      </c>
      <c r="L33" s="43" t="str">
        <f>IF(IFERROR(VLOOKUP($F33,$P:$P,1,1),0)&gt;=L$2,"o","-")</f>
        <v>-</v>
      </c>
      <c r="M33" s="43" t="str">
        <f>IF(IFERROR(VLOOKUP($F33,$P:$P,1,1),0)&gt;=M$2,"o","-")</f>
        <v>-</v>
      </c>
      <c r="N33" s="12">
        <f>IFERROR(VLOOKUP(F33,$P:$R,3,1),0)</f>
        <v>50000</v>
      </c>
    </row>
    <row r="34" spans="2:14">
      <c r="B34" s="9">
        <v>29</v>
      </c>
      <c r="C34" s="10" t="s">
        <v>29</v>
      </c>
      <c r="D34" s="10" t="s">
        <v>217</v>
      </c>
      <c r="E34" s="58">
        <v>32408904</v>
      </c>
      <c r="F34" s="39">
        <v>2</v>
      </c>
      <c r="G34" s="42" t="str">
        <f>IF(IFERROR(VLOOKUP($F34,$P:$P,1,1),0)&gt;=G$2,"o","-")</f>
        <v>o</v>
      </c>
      <c r="H34" s="43" t="str">
        <f>IF(IFERROR(VLOOKUP($F34,$P:$P,1,1),0)&gt;=H$2,"o","-")</f>
        <v>-</v>
      </c>
      <c r="I34" s="43" t="str">
        <f>IF(IFERROR(VLOOKUP($F34,$P:$P,1,1),0)&gt;=I$2,"o","-")</f>
        <v>-</v>
      </c>
      <c r="J34" s="43" t="str">
        <f>IF(IFERROR(VLOOKUP($F34,$P:$P,1,1),0)&gt;=J$2,"o","-")</f>
        <v>-</v>
      </c>
      <c r="K34" s="43" t="str">
        <f>IF(IFERROR(VLOOKUP($F34,$P:$P,1,1),0)&gt;=K$2,"o","-")</f>
        <v>-</v>
      </c>
      <c r="L34" s="43" t="str">
        <f>IF(IFERROR(VLOOKUP($F34,$P:$P,1,1),0)&gt;=L$2,"o","-")</f>
        <v>-</v>
      </c>
      <c r="M34" s="43" t="str">
        <f>IF(IFERROR(VLOOKUP($F34,$P:$P,1,1),0)&gt;=M$2,"o","-")</f>
        <v>-</v>
      </c>
      <c r="N34" s="12">
        <f>IFERROR(VLOOKUP(F34,$P:$R,3,1),0)</f>
        <v>50000</v>
      </c>
    </row>
    <row r="35" spans="2:14">
      <c r="B35" s="9">
        <v>30</v>
      </c>
      <c r="C35" s="10" t="s">
        <v>30</v>
      </c>
      <c r="D35" s="10" t="s">
        <v>218</v>
      </c>
      <c r="E35" s="58">
        <v>41900899</v>
      </c>
      <c r="F35" s="39">
        <v>2</v>
      </c>
      <c r="G35" s="42" t="str">
        <f>IF(IFERROR(VLOOKUP($F35,$P:$P,1,1),0)&gt;=G$2,"o","-")</f>
        <v>o</v>
      </c>
      <c r="H35" s="43" t="str">
        <f>IF(IFERROR(VLOOKUP($F35,$P:$P,1,1),0)&gt;=H$2,"o","-")</f>
        <v>-</v>
      </c>
      <c r="I35" s="43" t="str">
        <f>IF(IFERROR(VLOOKUP($F35,$P:$P,1,1),0)&gt;=I$2,"o","-")</f>
        <v>-</v>
      </c>
      <c r="J35" s="43" t="str">
        <f>IF(IFERROR(VLOOKUP($F35,$P:$P,1,1),0)&gt;=J$2,"o","-")</f>
        <v>-</v>
      </c>
      <c r="K35" s="43" t="str">
        <f>IF(IFERROR(VLOOKUP($F35,$P:$P,1,1),0)&gt;=K$2,"o","-")</f>
        <v>-</v>
      </c>
      <c r="L35" s="43" t="str">
        <f>IF(IFERROR(VLOOKUP($F35,$P:$P,1,1),0)&gt;=L$2,"o","-")</f>
        <v>-</v>
      </c>
      <c r="M35" s="43" t="str">
        <f>IF(IFERROR(VLOOKUP($F35,$P:$P,1,1),0)&gt;=M$2,"o","-")</f>
        <v>-</v>
      </c>
      <c r="N35" s="12">
        <f>IFERROR(VLOOKUP(F35,$P:$R,3,1),0)</f>
        <v>50000</v>
      </c>
    </row>
    <row r="36" spans="2:14">
      <c r="B36" s="9">
        <v>31</v>
      </c>
      <c r="C36" s="10" t="s">
        <v>31</v>
      </c>
      <c r="D36" s="10" t="s">
        <v>219</v>
      </c>
      <c r="E36" s="58">
        <v>32407031</v>
      </c>
      <c r="F36" s="39">
        <v>2</v>
      </c>
      <c r="G36" s="42" t="str">
        <f>IF(IFERROR(VLOOKUP($F36,$P:$P,1,1),0)&gt;=G$2,"o","-")</f>
        <v>o</v>
      </c>
      <c r="H36" s="43" t="str">
        <f>IF(IFERROR(VLOOKUP($F36,$P:$P,1,1),0)&gt;=H$2,"o","-")</f>
        <v>-</v>
      </c>
      <c r="I36" s="43" t="str">
        <f>IF(IFERROR(VLOOKUP($F36,$P:$P,1,1),0)&gt;=I$2,"o","-")</f>
        <v>-</v>
      </c>
      <c r="J36" s="43" t="str">
        <f>IF(IFERROR(VLOOKUP($F36,$P:$P,1,1),0)&gt;=J$2,"o","-")</f>
        <v>-</v>
      </c>
      <c r="K36" s="43" t="str">
        <f>IF(IFERROR(VLOOKUP($F36,$P:$P,1,1),0)&gt;=K$2,"o","-")</f>
        <v>-</v>
      </c>
      <c r="L36" s="43" t="str">
        <f>IF(IFERROR(VLOOKUP($F36,$P:$P,1,1),0)&gt;=L$2,"o","-")</f>
        <v>-</v>
      </c>
      <c r="M36" s="43" t="str">
        <f>IF(IFERROR(VLOOKUP($F36,$P:$P,1,1),0)&gt;=M$2,"o","-")</f>
        <v>-</v>
      </c>
      <c r="N36" s="12">
        <f>IFERROR(VLOOKUP(F36,$P:$R,3,1),0)</f>
        <v>50000</v>
      </c>
    </row>
    <row r="37" spans="2:14">
      <c r="B37" s="9">
        <v>32</v>
      </c>
      <c r="C37" s="10" t="s">
        <v>32</v>
      </c>
      <c r="D37" s="10" t="s">
        <v>220</v>
      </c>
      <c r="E37" s="58">
        <v>31902717</v>
      </c>
      <c r="F37" s="39">
        <v>2</v>
      </c>
      <c r="G37" s="42" t="str">
        <f>IF(IFERROR(VLOOKUP($F37,$P:$P,1,1),0)&gt;=G$2,"o","-")</f>
        <v>o</v>
      </c>
      <c r="H37" s="43" t="str">
        <f>IF(IFERROR(VLOOKUP($F37,$P:$P,1,1),0)&gt;=H$2,"o","-")</f>
        <v>-</v>
      </c>
      <c r="I37" s="43" t="str">
        <f>IF(IFERROR(VLOOKUP($F37,$P:$P,1,1),0)&gt;=I$2,"o","-")</f>
        <v>-</v>
      </c>
      <c r="J37" s="43" t="str">
        <f>IF(IFERROR(VLOOKUP($F37,$P:$P,1,1),0)&gt;=J$2,"o","-")</f>
        <v>-</v>
      </c>
      <c r="K37" s="43" t="str">
        <f>IF(IFERROR(VLOOKUP($F37,$P:$P,1,1),0)&gt;=K$2,"o","-")</f>
        <v>-</v>
      </c>
      <c r="L37" s="43" t="str">
        <f>IF(IFERROR(VLOOKUP($F37,$P:$P,1,1),0)&gt;=L$2,"o","-")</f>
        <v>-</v>
      </c>
      <c r="M37" s="43" t="str">
        <f>IF(IFERROR(VLOOKUP($F37,$P:$P,1,1),0)&gt;=M$2,"o","-")</f>
        <v>-</v>
      </c>
      <c r="N37" s="12">
        <f>IFERROR(VLOOKUP(F37,$P:$R,3,1),0)</f>
        <v>50000</v>
      </c>
    </row>
    <row r="38" spans="2:14">
      <c r="B38" s="9">
        <v>33</v>
      </c>
      <c r="C38" s="10" t="s">
        <v>33</v>
      </c>
      <c r="D38" s="10" t="s">
        <v>221</v>
      </c>
      <c r="E38" s="58">
        <v>42300515</v>
      </c>
      <c r="F38" s="39">
        <v>2</v>
      </c>
      <c r="G38" s="42" t="str">
        <f>IF(IFERROR(VLOOKUP($F38,$P:$P,1,1),0)&gt;=G$2,"o","-")</f>
        <v>o</v>
      </c>
      <c r="H38" s="43" t="str">
        <f>IF(IFERROR(VLOOKUP($F38,$P:$P,1,1),0)&gt;=H$2,"o","-")</f>
        <v>-</v>
      </c>
      <c r="I38" s="43" t="str">
        <f>IF(IFERROR(VLOOKUP($F38,$P:$P,1,1),0)&gt;=I$2,"o","-")</f>
        <v>-</v>
      </c>
      <c r="J38" s="43" t="str">
        <f>IF(IFERROR(VLOOKUP($F38,$P:$P,1,1),0)&gt;=J$2,"o","-")</f>
        <v>-</v>
      </c>
      <c r="K38" s="43" t="str">
        <f>IF(IFERROR(VLOOKUP($F38,$P:$P,1,1),0)&gt;=K$2,"o","-")</f>
        <v>-</v>
      </c>
      <c r="L38" s="43" t="str">
        <f>IF(IFERROR(VLOOKUP($F38,$P:$P,1,1),0)&gt;=L$2,"o","-")</f>
        <v>-</v>
      </c>
      <c r="M38" s="43" t="str">
        <f>IF(IFERROR(VLOOKUP($F38,$P:$P,1,1),0)&gt;=M$2,"o","-")</f>
        <v>-</v>
      </c>
      <c r="N38" s="12">
        <f>IFERROR(VLOOKUP(F38,$P:$R,3,1),0)</f>
        <v>50000</v>
      </c>
    </row>
    <row r="39" spans="2:14">
      <c r="B39" s="9">
        <v>34</v>
      </c>
      <c r="C39" s="10" t="s">
        <v>34</v>
      </c>
      <c r="D39" s="10" t="s">
        <v>222</v>
      </c>
      <c r="E39" s="58">
        <v>40734714</v>
      </c>
      <c r="F39" s="39">
        <v>2</v>
      </c>
      <c r="G39" s="42" t="str">
        <f>IF(IFERROR(VLOOKUP($F39,$P:$P,1,1),0)&gt;=G$2,"o","-")</f>
        <v>o</v>
      </c>
      <c r="H39" s="43" t="str">
        <f>IF(IFERROR(VLOOKUP($F39,$P:$P,1,1),0)&gt;=H$2,"o","-")</f>
        <v>-</v>
      </c>
      <c r="I39" s="43" t="str">
        <f>IF(IFERROR(VLOOKUP($F39,$P:$P,1,1),0)&gt;=I$2,"o","-")</f>
        <v>-</v>
      </c>
      <c r="J39" s="43" t="str">
        <f>IF(IFERROR(VLOOKUP($F39,$P:$P,1,1),0)&gt;=J$2,"o","-")</f>
        <v>-</v>
      </c>
      <c r="K39" s="43" t="str">
        <f>IF(IFERROR(VLOOKUP($F39,$P:$P,1,1),0)&gt;=K$2,"o","-")</f>
        <v>-</v>
      </c>
      <c r="L39" s="43" t="str">
        <f>IF(IFERROR(VLOOKUP($F39,$P:$P,1,1),0)&gt;=L$2,"o","-")</f>
        <v>-</v>
      </c>
      <c r="M39" s="43" t="str">
        <f>IF(IFERROR(VLOOKUP($F39,$P:$P,1,1),0)&gt;=M$2,"o","-")</f>
        <v>-</v>
      </c>
      <c r="N39" s="12">
        <f>IFERROR(VLOOKUP(F39,$P:$R,3,1),0)</f>
        <v>50000</v>
      </c>
    </row>
    <row r="40" spans="2:14">
      <c r="B40" s="9">
        <v>35</v>
      </c>
      <c r="C40" s="10" t="s">
        <v>35</v>
      </c>
      <c r="D40" s="10" t="s">
        <v>223</v>
      </c>
      <c r="E40" s="58">
        <v>32302488</v>
      </c>
      <c r="F40" s="39">
        <v>2</v>
      </c>
      <c r="G40" s="42" t="str">
        <f>IF(IFERROR(VLOOKUP($F40,$P:$P,1,1),0)&gt;=G$2,"o","-")</f>
        <v>o</v>
      </c>
      <c r="H40" s="43" t="str">
        <f>IF(IFERROR(VLOOKUP($F40,$P:$P,1,1),0)&gt;=H$2,"o","-")</f>
        <v>-</v>
      </c>
      <c r="I40" s="43" t="str">
        <f>IF(IFERROR(VLOOKUP($F40,$P:$P,1,1),0)&gt;=I$2,"o","-")</f>
        <v>-</v>
      </c>
      <c r="J40" s="43" t="str">
        <f>IF(IFERROR(VLOOKUP($F40,$P:$P,1,1),0)&gt;=J$2,"o","-")</f>
        <v>-</v>
      </c>
      <c r="K40" s="43" t="str">
        <f>IF(IFERROR(VLOOKUP($F40,$P:$P,1,1),0)&gt;=K$2,"o","-")</f>
        <v>-</v>
      </c>
      <c r="L40" s="43" t="str">
        <f>IF(IFERROR(VLOOKUP($F40,$P:$P,1,1),0)&gt;=L$2,"o","-")</f>
        <v>-</v>
      </c>
      <c r="M40" s="43" t="str">
        <f>IF(IFERROR(VLOOKUP($F40,$P:$P,1,1),0)&gt;=M$2,"o","-")</f>
        <v>-</v>
      </c>
      <c r="N40" s="12">
        <f>IFERROR(VLOOKUP(F40,$P:$R,3,1),0)</f>
        <v>50000</v>
      </c>
    </row>
    <row r="41" spans="2:14">
      <c r="B41" s="9">
        <v>36</v>
      </c>
      <c r="C41" s="10" t="s">
        <v>36</v>
      </c>
      <c r="D41" s="10" t="s">
        <v>224</v>
      </c>
      <c r="E41" s="58">
        <v>31900926</v>
      </c>
      <c r="F41" s="39">
        <v>2</v>
      </c>
      <c r="G41" s="42" t="str">
        <f>IF(IFERROR(VLOOKUP($F41,$P:$P,1,1),0)&gt;=G$2,"o","-")</f>
        <v>o</v>
      </c>
      <c r="H41" s="43" t="str">
        <f>IF(IFERROR(VLOOKUP($F41,$P:$P,1,1),0)&gt;=H$2,"o","-")</f>
        <v>-</v>
      </c>
      <c r="I41" s="43" t="str">
        <f>IF(IFERROR(VLOOKUP($F41,$P:$P,1,1),0)&gt;=I$2,"o","-")</f>
        <v>-</v>
      </c>
      <c r="J41" s="43" t="str">
        <f>IF(IFERROR(VLOOKUP($F41,$P:$P,1,1),0)&gt;=J$2,"o","-")</f>
        <v>-</v>
      </c>
      <c r="K41" s="43" t="str">
        <f>IF(IFERROR(VLOOKUP($F41,$P:$P,1,1),0)&gt;=K$2,"o","-")</f>
        <v>-</v>
      </c>
      <c r="L41" s="43" t="str">
        <f>IF(IFERROR(VLOOKUP($F41,$P:$P,1,1),0)&gt;=L$2,"o","-")</f>
        <v>-</v>
      </c>
      <c r="M41" s="43" t="str">
        <f>IF(IFERROR(VLOOKUP($F41,$P:$P,1,1),0)&gt;=M$2,"o","-")</f>
        <v>-</v>
      </c>
      <c r="N41" s="12">
        <f>IFERROR(VLOOKUP(F41,$P:$R,3,1),0)</f>
        <v>50000</v>
      </c>
    </row>
    <row r="42" spans="2:14">
      <c r="B42" s="9">
        <v>37</v>
      </c>
      <c r="C42" s="10" t="s">
        <v>37</v>
      </c>
      <c r="D42" s="10" t="s">
        <v>225</v>
      </c>
      <c r="E42" s="58">
        <v>32201769</v>
      </c>
      <c r="F42" s="39">
        <v>2</v>
      </c>
      <c r="G42" s="42" t="str">
        <f>IF(IFERROR(VLOOKUP($F42,$P:$P,1,1),0)&gt;=G$2,"o","-")</f>
        <v>o</v>
      </c>
      <c r="H42" s="43" t="str">
        <f>IF(IFERROR(VLOOKUP($F42,$P:$P,1,1),0)&gt;=H$2,"o","-")</f>
        <v>-</v>
      </c>
      <c r="I42" s="43" t="str">
        <f>IF(IFERROR(VLOOKUP($F42,$P:$P,1,1),0)&gt;=I$2,"o","-")</f>
        <v>-</v>
      </c>
      <c r="J42" s="43" t="str">
        <f>IF(IFERROR(VLOOKUP($F42,$P:$P,1,1),0)&gt;=J$2,"o","-")</f>
        <v>-</v>
      </c>
      <c r="K42" s="43" t="str">
        <f>IF(IFERROR(VLOOKUP($F42,$P:$P,1,1),0)&gt;=K$2,"o","-")</f>
        <v>-</v>
      </c>
      <c r="L42" s="43" t="str">
        <f>IF(IFERROR(VLOOKUP($F42,$P:$P,1,1),0)&gt;=L$2,"o","-")</f>
        <v>-</v>
      </c>
      <c r="M42" s="43" t="str">
        <f>IF(IFERROR(VLOOKUP($F42,$P:$P,1,1),0)&gt;=M$2,"o","-")</f>
        <v>-</v>
      </c>
      <c r="N42" s="12">
        <f>IFERROR(VLOOKUP(F42,$P:$R,3,1),0)</f>
        <v>50000</v>
      </c>
    </row>
    <row r="43" spans="2:14">
      <c r="B43" s="9">
        <v>38</v>
      </c>
      <c r="C43" s="10" t="s">
        <v>38</v>
      </c>
      <c r="D43" s="10" t="s">
        <v>226</v>
      </c>
      <c r="E43" s="58">
        <v>42302720</v>
      </c>
      <c r="F43" s="39">
        <v>2</v>
      </c>
      <c r="G43" s="42" t="str">
        <f>IF(IFERROR(VLOOKUP($F43,$P:$P,1,1),0)&gt;=G$2,"o","-")</f>
        <v>o</v>
      </c>
      <c r="H43" s="43" t="str">
        <f>IF(IFERROR(VLOOKUP($F43,$P:$P,1,1),0)&gt;=H$2,"o","-")</f>
        <v>-</v>
      </c>
      <c r="I43" s="43" t="str">
        <f>IF(IFERROR(VLOOKUP($F43,$P:$P,1,1),0)&gt;=I$2,"o","-")</f>
        <v>-</v>
      </c>
      <c r="J43" s="43" t="str">
        <f>IF(IFERROR(VLOOKUP($F43,$P:$P,1,1),0)&gt;=J$2,"o","-")</f>
        <v>-</v>
      </c>
      <c r="K43" s="43" t="str">
        <f>IF(IFERROR(VLOOKUP($F43,$P:$P,1,1),0)&gt;=K$2,"o","-")</f>
        <v>-</v>
      </c>
      <c r="L43" s="43" t="str">
        <f>IF(IFERROR(VLOOKUP($F43,$P:$P,1,1),0)&gt;=L$2,"o","-")</f>
        <v>-</v>
      </c>
      <c r="M43" s="43" t="str">
        <f>IF(IFERROR(VLOOKUP($F43,$P:$P,1,1),0)&gt;=M$2,"o","-")</f>
        <v>-</v>
      </c>
      <c r="N43" s="12">
        <f>IFERROR(VLOOKUP(F43,$P:$R,3,1),0)</f>
        <v>50000</v>
      </c>
    </row>
    <row r="44" spans="2:14">
      <c r="B44" s="9">
        <v>39</v>
      </c>
      <c r="C44" s="10" t="s">
        <v>39</v>
      </c>
      <c r="D44" s="10" t="s">
        <v>227</v>
      </c>
      <c r="E44" s="58">
        <v>41500163</v>
      </c>
      <c r="F44" s="39">
        <v>2</v>
      </c>
      <c r="G44" s="42" t="str">
        <f>IF(IFERROR(VLOOKUP($F44,$P:$P,1,1),0)&gt;=G$2,"o","-")</f>
        <v>o</v>
      </c>
      <c r="H44" s="43" t="str">
        <f>IF(IFERROR(VLOOKUP($F44,$P:$P,1,1),0)&gt;=H$2,"o","-")</f>
        <v>-</v>
      </c>
      <c r="I44" s="43" t="str">
        <f>IF(IFERROR(VLOOKUP($F44,$P:$P,1,1),0)&gt;=I$2,"o","-")</f>
        <v>-</v>
      </c>
      <c r="J44" s="43" t="str">
        <f>IF(IFERROR(VLOOKUP($F44,$P:$P,1,1),0)&gt;=J$2,"o","-")</f>
        <v>-</v>
      </c>
      <c r="K44" s="43" t="str">
        <f>IF(IFERROR(VLOOKUP($F44,$P:$P,1,1),0)&gt;=K$2,"o","-")</f>
        <v>-</v>
      </c>
      <c r="L44" s="43" t="str">
        <f>IF(IFERROR(VLOOKUP($F44,$P:$P,1,1),0)&gt;=L$2,"o","-")</f>
        <v>-</v>
      </c>
      <c r="M44" s="43" t="str">
        <f>IF(IFERROR(VLOOKUP($F44,$P:$P,1,1),0)&gt;=M$2,"o","-")</f>
        <v>-</v>
      </c>
      <c r="N44" s="12">
        <f>IFERROR(VLOOKUP(F44,$P:$R,3,1),0)</f>
        <v>50000</v>
      </c>
    </row>
    <row r="45" spans="2:14">
      <c r="B45" s="9">
        <v>40</v>
      </c>
      <c r="C45" s="10" t="s">
        <v>40</v>
      </c>
      <c r="D45" s="10" t="s">
        <v>228</v>
      </c>
      <c r="E45" s="58">
        <v>31600622</v>
      </c>
      <c r="F45" s="39">
        <v>2</v>
      </c>
      <c r="G45" s="42" t="str">
        <f>IF(IFERROR(VLOOKUP($F45,$P:$P,1,1),0)&gt;=G$2,"o","-")</f>
        <v>o</v>
      </c>
      <c r="H45" s="43" t="str">
        <f>IF(IFERROR(VLOOKUP($F45,$P:$P,1,1),0)&gt;=H$2,"o","-")</f>
        <v>-</v>
      </c>
      <c r="I45" s="43" t="str">
        <f>IF(IFERROR(VLOOKUP($F45,$P:$P,1,1),0)&gt;=I$2,"o","-")</f>
        <v>-</v>
      </c>
      <c r="J45" s="43" t="str">
        <f>IF(IFERROR(VLOOKUP($F45,$P:$P,1,1),0)&gt;=J$2,"o","-")</f>
        <v>-</v>
      </c>
      <c r="K45" s="43" t="str">
        <f>IF(IFERROR(VLOOKUP($F45,$P:$P,1,1),0)&gt;=K$2,"o","-")</f>
        <v>-</v>
      </c>
      <c r="L45" s="43" t="str">
        <f>IF(IFERROR(VLOOKUP($F45,$P:$P,1,1),0)&gt;=L$2,"o","-")</f>
        <v>-</v>
      </c>
      <c r="M45" s="43" t="str">
        <f>IF(IFERROR(VLOOKUP($F45,$P:$P,1,1),0)&gt;=M$2,"o","-")</f>
        <v>-</v>
      </c>
      <c r="N45" s="12">
        <f>IFERROR(VLOOKUP(F45,$P:$R,3,1),0)</f>
        <v>50000</v>
      </c>
    </row>
    <row r="46" spans="2:14">
      <c r="B46" s="9">
        <v>41</v>
      </c>
      <c r="C46" s="10" t="s">
        <v>41</v>
      </c>
      <c r="D46" s="10" t="s">
        <v>229</v>
      </c>
      <c r="E46" s="58">
        <v>42403926</v>
      </c>
      <c r="F46" s="39">
        <v>2</v>
      </c>
      <c r="G46" s="42" t="str">
        <f>IF(IFERROR(VLOOKUP($F46,$P:$P,1,1),0)&gt;=G$2,"o","-")</f>
        <v>o</v>
      </c>
      <c r="H46" s="43" t="str">
        <f>IF(IFERROR(VLOOKUP($F46,$P:$P,1,1),0)&gt;=H$2,"o","-")</f>
        <v>-</v>
      </c>
      <c r="I46" s="43" t="str">
        <f>IF(IFERROR(VLOOKUP($F46,$P:$P,1,1),0)&gt;=I$2,"o","-")</f>
        <v>-</v>
      </c>
      <c r="J46" s="43" t="str">
        <f>IF(IFERROR(VLOOKUP($F46,$P:$P,1,1),0)&gt;=J$2,"o","-")</f>
        <v>-</v>
      </c>
      <c r="K46" s="43" t="str">
        <f>IF(IFERROR(VLOOKUP($F46,$P:$P,1,1),0)&gt;=K$2,"o","-")</f>
        <v>-</v>
      </c>
      <c r="L46" s="43" t="str">
        <f>IF(IFERROR(VLOOKUP($F46,$P:$P,1,1),0)&gt;=L$2,"o","-")</f>
        <v>-</v>
      </c>
      <c r="M46" s="43" t="str">
        <f>IF(IFERROR(VLOOKUP($F46,$P:$P,1,1),0)&gt;=M$2,"o","-")</f>
        <v>-</v>
      </c>
      <c r="N46" s="12">
        <f>IFERROR(VLOOKUP(F46,$P:$R,3,1),0)</f>
        <v>50000</v>
      </c>
    </row>
    <row r="47" spans="2:14">
      <c r="B47" s="9">
        <v>42</v>
      </c>
      <c r="C47" s="10" t="s">
        <v>42</v>
      </c>
      <c r="D47" s="10" t="s">
        <v>230</v>
      </c>
      <c r="E47" s="58">
        <v>32202209</v>
      </c>
      <c r="F47" s="39">
        <v>2</v>
      </c>
      <c r="G47" s="42" t="str">
        <f>IF(IFERROR(VLOOKUP($F47,$P:$P,1,1),0)&gt;=G$2,"o","-")</f>
        <v>o</v>
      </c>
      <c r="H47" s="43" t="str">
        <f>IF(IFERROR(VLOOKUP($F47,$P:$P,1,1),0)&gt;=H$2,"o","-")</f>
        <v>-</v>
      </c>
      <c r="I47" s="43" t="str">
        <f>IF(IFERROR(VLOOKUP($F47,$P:$P,1,1),0)&gt;=I$2,"o","-")</f>
        <v>-</v>
      </c>
      <c r="J47" s="43" t="str">
        <f>IF(IFERROR(VLOOKUP($F47,$P:$P,1,1),0)&gt;=J$2,"o","-")</f>
        <v>-</v>
      </c>
      <c r="K47" s="43" t="str">
        <f>IF(IFERROR(VLOOKUP($F47,$P:$P,1,1),0)&gt;=K$2,"o","-")</f>
        <v>-</v>
      </c>
      <c r="L47" s="43" t="str">
        <f>IF(IFERROR(VLOOKUP($F47,$P:$P,1,1),0)&gt;=L$2,"o","-")</f>
        <v>-</v>
      </c>
      <c r="M47" s="43" t="str">
        <f>IF(IFERROR(VLOOKUP($F47,$P:$P,1,1),0)&gt;=M$2,"o","-")</f>
        <v>-</v>
      </c>
      <c r="N47" s="12">
        <f>IFERROR(VLOOKUP(F47,$P:$R,3,1),0)</f>
        <v>50000</v>
      </c>
    </row>
    <row r="48" spans="2:14">
      <c r="B48" s="9">
        <v>43</v>
      </c>
      <c r="C48" s="10" t="s">
        <v>43</v>
      </c>
      <c r="D48" s="10" t="s">
        <v>231</v>
      </c>
      <c r="E48" s="58">
        <v>42402134</v>
      </c>
      <c r="F48" s="39">
        <v>2</v>
      </c>
      <c r="G48" s="42" t="str">
        <f>IF(IFERROR(VLOOKUP($F48,$P:$P,1,1),0)&gt;=G$2,"o","-")</f>
        <v>o</v>
      </c>
      <c r="H48" s="43" t="str">
        <f>IF(IFERROR(VLOOKUP($F48,$P:$P,1,1),0)&gt;=H$2,"o","-")</f>
        <v>-</v>
      </c>
      <c r="I48" s="43" t="str">
        <f>IF(IFERROR(VLOOKUP($F48,$P:$P,1,1),0)&gt;=I$2,"o","-")</f>
        <v>-</v>
      </c>
      <c r="J48" s="43" t="str">
        <f>IF(IFERROR(VLOOKUP($F48,$P:$P,1,1),0)&gt;=J$2,"o","-")</f>
        <v>-</v>
      </c>
      <c r="K48" s="43" t="str">
        <f>IF(IFERROR(VLOOKUP($F48,$P:$P,1,1),0)&gt;=K$2,"o","-")</f>
        <v>-</v>
      </c>
      <c r="L48" s="43" t="str">
        <f>IF(IFERROR(VLOOKUP($F48,$P:$P,1,1),0)&gt;=L$2,"o","-")</f>
        <v>-</v>
      </c>
      <c r="M48" s="43" t="str">
        <f>IF(IFERROR(VLOOKUP($F48,$P:$P,1,1),0)&gt;=M$2,"o","-")</f>
        <v>-</v>
      </c>
      <c r="N48" s="12">
        <f>IFERROR(VLOOKUP(F48,$P:$R,3,1),0)</f>
        <v>50000</v>
      </c>
    </row>
    <row r="49" spans="2:14">
      <c r="B49" s="9">
        <v>44</v>
      </c>
      <c r="C49" s="10" t="s">
        <v>44</v>
      </c>
      <c r="D49" s="10" t="s">
        <v>232</v>
      </c>
      <c r="E49" s="58">
        <v>40738422</v>
      </c>
      <c r="F49" s="39">
        <v>2</v>
      </c>
      <c r="G49" s="42" t="str">
        <f>IF(IFERROR(VLOOKUP($F49,$P:$P,1,1),0)&gt;=G$2,"o","-")</f>
        <v>o</v>
      </c>
      <c r="H49" s="43" t="str">
        <f>IF(IFERROR(VLOOKUP($F49,$P:$P,1,1),0)&gt;=H$2,"o","-")</f>
        <v>-</v>
      </c>
      <c r="I49" s="43" t="str">
        <f>IF(IFERROR(VLOOKUP($F49,$P:$P,1,1),0)&gt;=I$2,"o","-")</f>
        <v>-</v>
      </c>
      <c r="J49" s="43" t="str">
        <f>IF(IFERROR(VLOOKUP($F49,$P:$P,1,1),0)&gt;=J$2,"o","-")</f>
        <v>-</v>
      </c>
      <c r="K49" s="43" t="str">
        <f>IF(IFERROR(VLOOKUP($F49,$P:$P,1,1),0)&gt;=K$2,"o","-")</f>
        <v>-</v>
      </c>
      <c r="L49" s="43" t="str">
        <f>IF(IFERROR(VLOOKUP($F49,$P:$P,1,1),0)&gt;=L$2,"o","-")</f>
        <v>-</v>
      </c>
      <c r="M49" s="43" t="str">
        <f>IF(IFERROR(VLOOKUP($F49,$P:$P,1,1),0)&gt;=M$2,"o","-")</f>
        <v>-</v>
      </c>
      <c r="N49" s="12">
        <f>IFERROR(VLOOKUP(F49,$P:$R,3,1),0)</f>
        <v>50000</v>
      </c>
    </row>
    <row r="50" spans="2:14">
      <c r="B50" s="9">
        <v>45</v>
      </c>
      <c r="C50" s="10" t="s">
        <v>45</v>
      </c>
      <c r="D50" s="10" t="s">
        <v>233</v>
      </c>
      <c r="E50" s="58">
        <v>40800206</v>
      </c>
      <c r="F50" s="39">
        <v>2</v>
      </c>
      <c r="G50" s="42" t="str">
        <f>IF(IFERROR(VLOOKUP($F50,$P:$P,1,1),0)&gt;=G$2,"o","-")</f>
        <v>o</v>
      </c>
      <c r="H50" s="43" t="str">
        <f>IF(IFERROR(VLOOKUP($F50,$P:$P,1,1),0)&gt;=H$2,"o","-")</f>
        <v>-</v>
      </c>
      <c r="I50" s="43" t="str">
        <f>IF(IFERROR(VLOOKUP($F50,$P:$P,1,1),0)&gt;=I$2,"o","-")</f>
        <v>-</v>
      </c>
      <c r="J50" s="43" t="str">
        <f>IF(IFERROR(VLOOKUP($F50,$P:$P,1,1),0)&gt;=J$2,"o","-")</f>
        <v>-</v>
      </c>
      <c r="K50" s="43" t="str">
        <f>IF(IFERROR(VLOOKUP($F50,$P:$P,1,1),0)&gt;=K$2,"o","-")</f>
        <v>-</v>
      </c>
      <c r="L50" s="43" t="str">
        <f>IF(IFERROR(VLOOKUP($F50,$P:$P,1,1),0)&gt;=L$2,"o","-")</f>
        <v>-</v>
      </c>
      <c r="M50" s="43" t="str">
        <f>IF(IFERROR(VLOOKUP($F50,$P:$P,1,1),0)&gt;=M$2,"o","-")</f>
        <v>-</v>
      </c>
      <c r="N50" s="12">
        <f>IFERROR(VLOOKUP(F50,$P:$R,3,1),0)</f>
        <v>50000</v>
      </c>
    </row>
    <row r="51" spans="2:14">
      <c r="B51" s="9">
        <v>46</v>
      </c>
      <c r="C51" s="10" t="s">
        <v>46</v>
      </c>
      <c r="D51" s="10" t="s">
        <v>234</v>
      </c>
      <c r="E51" s="58">
        <v>40713780</v>
      </c>
      <c r="F51" s="39">
        <v>2</v>
      </c>
      <c r="G51" s="42" t="str">
        <f>IF(IFERROR(VLOOKUP($F51,$P:$P,1,1),0)&gt;=G$2,"o","-")</f>
        <v>o</v>
      </c>
      <c r="H51" s="43" t="str">
        <f>IF(IFERROR(VLOOKUP($F51,$P:$P,1,1),0)&gt;=H$2,"o","-")</f>
        <v>-</v>
      </c>
      <c r="I51" s="43" t="str">
        <f>IF(IFERROR(VLOOKUP($F51,$P:$P,1,1),0)&gt;=I$2,"o","-")</f>
        <v>-</v>
      </c>
      <c r="J51" s="43" t="str">
        <f>IF(IFERROR(VLOOKUP($F51,$P:$P,1,1),0)&gt;=J$2,"o","-")</f>
        <v>-</v>
      </c>
      <c r="K51" s="43" t="str">
        <f>IF(IFERROR(VLOOKUP($F51,$P:$P,1,1),0)&gt;=K$2,"o","-")</f>
        <v>-</v>
      </c>
      <c r="L51" s="43" t="str">
        <f>IF(IFERROR(VLOOKUP($F51,$P:$P,1,1),0)&gt;=L$2,"o","-")</f>
        <v>-</v>
      </c>
      <c r="M51" s="43" t="str">
        <f>IF(IFERROR(VLOOKUP($F51,$P:$P,1,1),0)&gt;=M$2,"o","-")</f>
        <v>-</v>
      </c>
      <c r="N51" s="12">
        <f>IFERROR(VLOOKUP(F51,$P:$R,3,1),0)</f>
        <v>50000</v>
      </c>
    </row>
    <row r="52" spans="2:14">
      <c r="B52" s="9">
        <v>47</v>
      </c>
      <c r="C52" s="10" t="s">
        <v>47</v>
      </c>
      <c r="D52" s="10" t="s">
        <v>235</v>
      </c>
      <c r="E52" s="58">
        <v>32409273</v>
      </c>
      <c r="F52" s="39">
        <v>2</v>
      </c>
      <c r="G52" s="42" t="str">
        <f>IF(IFERROR(VLOOKUP($F52,$P:$P,1,1),0)&gt;=G$2,"o","-")</f>
        <v>o</v>
      </c>
      <c r="H52" s="43" t="str">
        <f>IF(IFERROR(VLOOKUP($F52,$P:$P,1,1),0)&gt;=H$2,"o","-")</f>
        <v>-</v>
      </c>
      <c r="I52" s="43" t="str">
        <f>IF(IFERROR(VLOOKUP($F52,$P:$P,1,1),0)&gt;=I$2,"o","-")</f>
        <v>-</v>
      </c>
      <c r="J52" s="43" t="str">
        <f>IF(IFERROR(VLOOKUP($F52,$P:$P,1,1),0)&gt;=J$2,"o","-")</f>
        <v>-</v>
      </c>
      <c r="K52" s="43" t="str">
        <f>IF(IFERROR(VLOOKUP($F52,$P:$P,1,1),0)&gt;=K$2,"o","-")</f>
        <v>-</v>
      </c>
      <c r="L52" s="43" t="str">
        <f>IF(IFERROR(VLOOKUP($F52,$P:$P,1,1),0)&gt;=L$2,"o","-")</f>
        <v>-</v>
      </c>
      <c r="M52" s="43" t="str">
        <f>IF(IFERROR(VLOOKUP($F52,$P:$P,1,1),0)&gt;=M$2,"o","-")</f>
        <v>-</v>
      </c>
      <c r="N52" s="12">
        <f>IFERROR(VLOOKUP(F52,$P:$R,3,1),0)</f>
        <v>50000</v>
      </c>
    </row>
    <row r="53" spans="2:14">
      <c r="B53" s="9">
        <v>48</v>
      </c>
      <c r="C53" s="10" t="s">
        <v>48</v>
      </c>
      <c r="D53" s="10" t="s">
        <v>236</v>
      </c>
      <c r="E53" s="58">
        <v>32407004</v>
      </c>
      <c r="F53" s="39">
        <v>2</v>
      </c>
      <c r="G53" s="42" t="str">
        <f>IF(IFERROR(VLOOKUP($F53,$P:$P,1,1),0)&gt;=G$2,"o","-")</f>
        <v>o</v>
      </c>
      <c r="H53" s="43" t="str">
        <f>IF(IFERROR(VLOOKUP($F53,$P:$P,1,1),0)&gt;=H$2,"o","-")</f>
        <v>-</v>
      </c>
      <c r="I53" s="43" t="str">
        <f>IF(IFERROR(VLOOKUP($F53,$P:$P,1,1),0)&gt;=I$2,"o","-")</f>
        <v>-</v>
      </c>
      <c r="J53" s="43" t="str">
        <f>IF(IFERROR(VLOOKUP($F53,$P:$P,1,1),0)&gt;=J$2,"o","-")</f>
        <v>-</v>
      </c>
      <c r="K53" s="43" t="str">
        <f>IF(IFERROR(VLOOKUP($F53,$P:$P,1,1),0)&gt;=K$2,"o","-")</f>
        <v>-</v>
      </c>
      <c r="L53" s="43" t="str">
        <f>IF(IFERROR(VLOOKUP($F53,$P:$P,1,1),0)&gt;=L$2,"o","-")</f>
        <v>-</v>
      </c>
      <c r="M53" s="43" t="str">
        <f>IF(IFERROR(VLOOKUP($F53,$P:$P,1,1),0)&gt;=M$2,"o","-")</f>
        <v>-</v>
      </c>
      <c r="N53" s="12">
        <f>IFERROR(VLOOKUP(F53,$P:$R,3,1),0)</f>
        <v>50000</v>
      </c>
    </row>
    <row r="54" spans="2:14">
      <c r="B54" s="9">
        <v>49</v>
      </c>
      <c r="C54" s="10" t="s">
        <v>49</v>
      </c>
      <c r="D54" s="10" t="s">
        <v>237</v>
      </c>
      <c r="E54" s="58">
        <v>31800792</v>
      </c>
      <c r="F54" s="39">
        <v>2</v>
      </c>
      <c r="G54" s="42" t="str">
        <f>IF(IFERROR(VLOOKUP($F54,$P:$P,1,1),0)&gt;=G$2,"o","-")</f>
        <v>o</v>
      </c>
      <c r="H54" s="43" t="str">
        <f>IF(IFERROR(VLOOKUP($F54,$P:$P,1,1),0)&gt;=H$2,"o","-")</f>
        <v>-</v>
      </c>
      <c r="I54" s="43" t="str">
        <f>IF(IFERROR(VLOOKUP($F54,$P:$P,1,1),0)&gt;=I$2,"o","-")</f>
        <v>-</v>
      </c>
      <c r="J54" s="43" t="str">
        <f>IF(IFERROR(VLOOKUP($F54,$P:$P,1,1),0)&gt;=J$2,"o","-")</f>
        <v>-</v>
      </c>
      <c r="K54" s="43" t="str">
        <f>IF(IFERROR(VLOOKUP($F54,$P:$P,1,1),0)&gt;=K$2,"o","-")</f>
        <v>-</v>
      </c>
      <c r="L54" s="43" t="str">
        <f>IF(IFERROR(VLOOKUP($F54,$P:$P,1,1),0)&gt;=L$2,"o","-")</f>
        <v>-</v>
      </c>
      <c r="M54" s="43" t="str">
        <f>IF(IFERROR(VLOOKUP($F54,$P:$P,1,1),0)&gt;=M$2,"o","-")</f>
        <v>-</v>
      </c>
      <c r="N54" s="12">
        <f>IFERROR(VLOOKUP(F54,$P:$R,3,1),0)</f>
        <v>50000</v>
      </c>
    </row>
    <row r="55" spans="2:14">
      <c r="B55" s="9">
        <v>50</v>
      </c>
      <c r="C55" s="10" t="s">
        <v>50</v>
      </c>
      <c r="D55" s="10" t="s">
        <v>238</v>
      </c>
      <c r="E55" s="58">
        <v>40700667</v>
      </c>
      <c r="F55" s="39">
        <v>2</v>
      </c>
      <c r="G55" s="42" t="str">
        <f>IF(IFERROR(VLOOKUP($F55,$P:$P,1,1),0)&gt;=G$2,"o","-")</f>
        <v>o</v>
      </c>
      <c r="H55" s="43" t="str">
        <f>IF(IFERROR(VLOOKUP($F55,$P:$P,1,1),0)&gt;=H$2,"o","-")</f>
        <v>-</v>
      </c>
      <c r="I55" s="43" t="str">
        <f>IF(IFERROR(VLOOKUP($F55,$P:$P,1,1),0)&gt;=I$2,"o","-")</f>
        <v>-</v>
      </c>
      <c r="J55" s="43" t="str">
        <f>IF(IFERROR(VLOOKUP($F55,$P:$P,1,1),0)&gt;=J$2,"o","-")</f>
        <v>-</v>
      </c>
      <c r="K55" s="43" t="str">
        <f>IF(IFERROR(VLOOKUP($F55,$P:$P,1,1),0)&gt;=K$2,"o","-")</f>
        <v>-</v>
      </c>
      <c r="L55" s="43" t="str">
        <f>IF(IFERROR(VLOOKUP($F55,$P:$P,1,1),0)&gt;=L$2,"o","-")</f>
        <v>-</v>
      </c>
      <c r="M55" s="43" t="str">
        <f>IF(IFERROR(VLOOKUP($F55,$P:$P,1,1),0)&gt;=M$2,"o","-")</f>
        <v>-</v>
      </c>
      <c r="N55" s="12">
        <f>IFERROR(VLOOKUP(F55,$P:$R,3,1),0)</f>
        <v>50000</v>
      </c>
    </row>
    <row r="56" spans="2:14">
      <c r="B56" s="9">
        <v>51</v>
      </c>
      <c r="C56" s="10" t="s">
        <v>51</v>
      </c>
      <c r="D56" s="10" t="s">
        <v>239</v>
      </c>
      <c r="E56" s="58">
        <v>41507166</v>
      </c>
      <c r="F56" s="39">
        <v>2</v>
      </c>
      <c r="G56" s="42" t="str">
        <f>IF(IFERROR(VLOOKUP($F56,$P:$P,1,1),0)&gt;=G$2,"o","-")</f>
        <v>o</v>
      </c>
      <c r="H56" s="43" t="str">
        <f>IF(IFERROR(VLOOKUP($F56,$P:$P,1,1),0)&gt;=H$2,"o","-")</f>
        <v>-</v>
      </c>
      <c r="I56" s="43" t="str">
        <f>IF(IFERROR(VLOOKUP($F56,$P:$P,1,1),0)&gt;=I$2,"o","-")</f>
        <v>-</v>
      </c>
      <c r="J56" s="43" t="str">
        <f>IF(IFERROR(VLOOKUP($F56,$P:$P,1,1),0)&gt;=J$2,"o","-")</f>
        <v>-</v>
      </c>
      <c r="K56" s="43" t="str">
        <f>IF(IFERROR(VLOOKUP($F56,$P:$P,1,1),0)&gt;=K$2,"o","-")</f>
        <v>-</v>
      </c>
      <c r="L56" s="43" t="str">
        <f>IF(IFERROR(VLOOKUP($F56,$P:$P,1,1),0)&gt;=L$2,"o","-")</f>
        <v>-</v>
      </c>
      <c r="M56" s="43" t="str">
        <f>IF(IFERROR(VLOOKUP($F56,$P:$P,1,1),0)&gt;=M$2,"o","-")</f>
        <v>-</v>
      </c>
      <c r="N56" s="12">
        <f>IFERROR(VLOOKUP(F56,$P:$R,3,1),0)</f>
        <v>50000</v>
      </c>
    </row>
    <row r="57" spans="2:14">
      <c r="B57" s="9">
        <v>52</v>
      </c>
      <c r="C57" s="10" t="s">
        <v>52</v>
      </c>
      <c r="D57" s="10" t="s">
        <v>240</v>
      </c>
      <c r="E57" s="58">
        <v>40716183</v>
      </c>
      <c r="F57" s="39">
        <v>2</v>
      </c>
      <c r="G57" s="42" t="str">
        <f>IF(IFERROR(VLOOKUP($F57,$P:$P,1,1),0)&gt;=G$2,"o","-")</f>
        <v>o</v>
      </c>
      <c r="H57" s="43" t="str">
        <f>IF(IFERROR(VLOOKUP($F57,$P:$P,1,1),0)&gt;=H$2,"o","-")</f>
        <v>-</v>
      </c>
      <c r="I57" s="43" t="str">
        <f>IF(IFERROR(VLOOKUP($F57,$P:$P,1,1),0)&gt;=I$2,"o","-")</f>
        <v>-</v>
      </c>
      <c r="J57" s="43" t="str">
        <f>IF(IFERROR(VLOOKUP($F57,$P:$P,1,1),0)&gt;=J$2,"o","-")</f>
        <v>-</v>
      </c>
      <c r="K57" s="43" t="str">
        <f>IF(IFERROR(VLOOKUP($F57,$P:$P,1,1),0)&gt;=K$2,"o","-")</f>
        <v>-</v>
      </c>
      <c r="L57" s="43" t="str">
        <f>IF(IFERROR(VLOOKUP($F57,$P:$P,1,1),0)&gt;=L$2,"o","-")</f>
        <v>-</v>
      </c>
      <c r="M57" s="43" t="str">
        <f>IF(IFERROR(VLOOKUP($F57,$P:$P,1,1),0)&gt;=M$2,"o","-")</f>
        <v>-</v>
      </c>
      <c r="N57" s="12">
        <f>IFERROR(VLOOKUP(F57,$P:$R,3,1),0)</f>
        <v>50000</v>
      </c>
    </row>
    <row r="58" spans="2:14">
      <c r="B58" s="9">
        <v>53</v>
      </c>
      <c r="C58" s="10" t="s">
        <v>53</v>
      </c>
      <c r="D58" s="10" t="s">
        <v>241</v>
      </c>
      <c r="E58" s="58">
        <v>31800512</v>
      </c>
      <c r="F58" s="39">
        <v>2</v>
      </c>
      <c r="G58" s="42" t="str">
        <f>IF(IFERROR(VLOOKUP($F58,$P:$P,1,1),0)&gt;=G$2,"o","-")</f>
        <v>o</v>
      </c>
      <c r="H58" s="43" t="str">
        <f>IF(IFERROR(VLOOKUP($F58,$P:$P,1,1),0)&gt;=H$2,"o","-")</f>
        <v>-</v>
      </c>
      <c r="I58" s="43" t="str">
        <f>IF(IFERROR(VLOOKUP($F58,$P:$P,1,1),0)&gt;=I$2,"o","-")</f>
        <v>-</v>
      </c>
      <c r="J58" s="43" t="str">
        <f>IF(IFERROR(VLOOKUP($F58,$P:$P,1,1),0)&gt;=J$2,"o","-")</f>
        <v>-</v>
      </c>
      <c r="K58" s="43" t="str">
        <f>IF(IFERROR(VLOOKUP($F58,$P:$P,1,1),0)&gt;=K$2,"o","-")</f>
        <v>-</v>
      </c>
      <c r="L58" s="43" t="str">
        <f>IF(IFERROR(VLOOKUP($F58,$P:$P,1,1),0)&gt;=L$2,"o","-")</f>
        <v>-</v>
      </c>
      <c r="M58" s="43" t="str">
        <f>IF(IFERROR(VLOOKUP($F58,$P:$P,1,1),0)&gt;=M$2,"o","-")</f>
        <v>-</v>
      </c>
      <c r="N58" s="12">
        <f>IFERROR(VLOOKUP(F58,$P:$R,3,1),0)</f>
        <v>50000</v>
      </c>
    </row>
    <row r="59" spans="2:14">
      <c r="B59" s="9">
        <v>54</v>
      </c>
      <c r="C59" s="10" t="s">
        <v>54</v>
      </c>
      <c r="D59" s="10" t="s">
        <v>242</v>
      </c>
      <c r="E59" s="58">
        <v>41800089</v>
      </c>
      <c r="F59" s="39">
        <v>2</v>
      </c>
      <c r="G59" s="42" t="str">
        <f>IF(IFERROR(VLOOKUP($F59,$P:$P,1,1),0)&gt;=G$2,"o","-")</f>
        <v>o</v>
      </c>
      <c r="H59" s="43" t="str">
        <f>IF(IFERROR(VLOOKUP($F59,$P:$P,1,1),0)&gt;=H$2,"o","-")</f>
        <v>-</v>
      </c>
      <c r="I59" s="43" t="str">
        <f>IF(IFERROR(VLOOKUP($F59,$P:$P,1,1),0)&gt;=I$2,"o","-")</f>
        <v>-</v>
      </c>
      <c r="J59" s="43" t="str">
        <f>IF(IFERROR(VLOOKUP($F59,$P:$P,1,1),0)&gt;=J$2,"o","-")</f>
        <v>-</v>
      </c>
      <c r="K59" s="43" t="str">
        <f>IF(IFERROR(VLOOKUP($F59,$P:$P,1,1),0)&gt;=K$2,"o","-")</f>
        <v>-</v>
      </c>
      <c r="L59" s="43" t="str">
        <f>IF(IFERROR(VLOOKUP($F59,$P:$P,1,1),0)&gt;=L$2,"o","-")</f>
        <v>-</v>
      </c>
      <c r="M59" s="43" t="str">
        <f>IF(IFERROR(VLOOKUP($F59,$P:$P,1,1),0)&gt;=M$2,"o","-")</f>
        <v>-</v>
      </c>
      <c r="N59" s="12">
        <f>IFERROR(VLOOKUP(F59,$P:$R,3,1),0)</f>
        <v>50000</v>
      </c>
    </row>
    <row r="60" spans="2:14">
      <c r="B60" s="9">
        <v>55</v>
      </c>
      <c r="C60" s="10" t="s">
        <v>55</v>
      </c>
      <c r="D60" s="10" t="s">
        <v>243</v>
      </c>
      <c r="E60" s="58">
        <v>30801125</v>
      </c>
      <c r="F60" s="39">
        <v>2</v>
      </c>
      <c r="G60" s="42" t="str">
        <f>IF(IFERROR(VLOOKUP($F60,$P:$P,1,1),0)&gt;=G$2,"o","-")</f>
        <v>o</v>
      </c>
      <c r="H60" s="43" t="str">
        <f>IF(IFERROR(VLOOKUP($F60,$P:$P,1,1),0)&gt;=H$2,"o","-")</f>
        <v>-</v>
      </c>
      <c r="I60" s="43" t="str">
        <f>IF(IFERROR(VLOOKUP($F60,$P:$P,1,1),0)&gt;=I$2,"o","-")</f>
        <v>-</v>
      </c>
      <c r="J60" s="43" t="str">
        <f>IF(IFERROR(VLOOKUP($F60,$P:$P,1,1),0)&gt;=J$2,"o","-")</f>
        <v>-</v>
      </c>
      <c r="K60" s="43" t="str">
        <f>IF(IFERROR(VLOOKUP($F60,$P:$P,1,1),0)&gt;=K$2,"o","-")</f>
        <v>-</v>
      </c>
      <c r="L60" s="43" t="str">
        <f>IF(IFERROR(VLOOKUP($F60,$P:$P,1,1),0)&gt;=L$2,"o","-")</f>
        <v>-</v>
      </c>
      <c r="M60" s="43" t="str">
        <f>IF(IFERROR(VLOOKUP($F60,$P:$P,1,1),0)&gt;=M$2,"o","-")</f>
        <v>-</v>
      </c>
      <c r="N60" s="12">
        <f>IFERROR(VLOOKUP(F60,$P:$R,3,1),0)</f>
        <v>50000</v>
      </c>
    </row>
    <row r="61" spans="2:14">
      <c r="B61" s="9">
        <v>56</v>
      </c>
      <c r="C61" s="10" t="s">
        <v>56</v>
      </c>
      <c r="D61" s="10" t="s">
        <v>244</v>
      </c>
      <c r="E61" s="58">
        <v>41803473</v>
      </c>
      <c r="F61" s="39">
        <v>2</v>
      </c>
      <c r="G61" s="42" t="str">
        <f>IF(IFERROR(VLOOKUP($F61,$P:$P,1,1),0)&gt;=G$2,"o","-")</f>
        <v>o</v>
      </c>
      <c r="H61" s="43" t="str">
        <f>IF(IFERROR(VLOOKUP($F61,$P:$P,1,1),0)&gt;=H$2,"o","-")</f>
        <v>-</v>
      </c>
      <c r="I61" s="43" t="str">
        <f>IF(IFERROR(VLOOKUP($F61,$P:$P,1,1),0)&gt;=I$2,"o","-")</f>
        <v>-</v>
      </c>
      <c r="J61" s="43" t="str">
        <f>IF(IFERROR(VLOOKUP($F61,$P:$P,1,1),0)&gt;=J$2,"o","-")</f>
        <v>-</v>
      </c>
      <c r="K61" s="43" t="str">
        <f>IF(IFERROR(VLOOKUP($F61,$P:$P,1,1),0)&gt;=K$2,"o","-")</f>
        <v>-</v>
      </c>
      <c r="L61" s="43" t="str">
        <f>IF(IFERROR(VLOOKUP($F61,$P:$P,1,1),0)&gt;=L$2,"o","-")</f>
        <v>-</v>
      </c>
      <c r="M61" s="43" t="str">
        <f>IF(IFERROR(VLOOKUP($F61,$P:$P,1,1),0)&gt;=M$2,"o","-")</f>
        <v>-</v>
      </c>
      <c r="N61" s="12">
        <f>IFERROR(VLOOKUP(F61,$P:$R,3,1),0)</f>
        <v>50000</v>
      </c>
    </row>
    <row r="62" spans="2:14">
      <c r="B62" s="9">
        <v>57</v>
      </c>
      <c r="C62" s="10" t="s">
        <v>57</v>
      </c>
      <c r="D62" s="10" t="s">
        <v>245</v>
      </c>
      <c r="E62" s="58">
        <v>40733067</v>
      </c>
      <c r="F62" s="39">
        <v>2</v>
      </c>
      <c r="G62" s="42" t="str">
        <f>IF(IFERROR(VLOOKUP($F62,$P:$P,1,1),0)&gt;=G$2,"o","-")</f>
        <v>o</v>
      </c>
      <c r="H62" s="43" t="str">
        <f>IF(IFERROR(VLOOKUP($F62,$P:$P,1,1),0)&gt;=H$2,"o","-")</f>
        <v>-</v>
      </c>
      <c r="I62" s="43" t="str">
        <f>IF(IFERROR(VLOOKUP($F62,$P:$P,1,1),0)&gt;=I$2,"o","-")</f>
        <v>-</v>
      </c>
      <c r="J62" s="43" t="str">
        <f>IF(IFERROR(VLOOKUP($F62,$P:$P,1,1),0)&gt;=J$2,"o","-")</f>
        <v>-</v>
      </c>
      <c r="K62" s="43" t="str">
        <f>IF(IFERROR(VLOOKUP($F62,$P:$P,1,1),0)&gt;=K$2,"o","-")</f>
        <v>-</v>
      </c>
      <c r="L62" s="43" t="str">
        <f>IF(IFERROR(VLOOKUP($F62,$P:$P,1,1),0)&gt;=L$2,"o","-")</f>
        <v>-</v>
      </c>
      <c r="M62" s="43" t="str">
        <f>IF(IFERROR(VLOOKUP($F62,$P:$P,1,1),0)&gt;=M$2,"o","-")</f>
        <v>-</v>
      </c>
      <c r="N62" s="12">
        <f>IFERROR(VLOOKUP(F62,$P:$R,3,1),0)</f>
        <v>50000</v>
      </c>
    </row>
    <row r="63" spans="2:14">
      <c r="B63" s="9">
        <v>58</v>
      </c>
      <c r="C63" s="10" t="s">
        <v>58</v>
      </c>
      <c r="D63" s="10" t="s">
        <v>246</v>
      </c>
      <c r="E63" s="58">
        <v>31107413</v>
      </c>
      <c r="F63" s="39">
        <v>2</v>
      </c>
      <c r="G63" s="42" t="str">
        <f>IF(IFERROR(VLOOKUP($F63,$P:$P,1,1),0)&gt;=G$2,"o","-")</f>
        <v>o</v>
      </c>
      <c r="H63" s="43" t="str">
        <f>IF(IFERROR(VLOOKUP($F63,$P:$P,1,1),0)&gt;=H$2,"o","-")</f>
        <v>-</v>
      </c>
      <c r="I63" s="43" t="str">
        <f>IF(IFERROR(VLOOKUP($F63,$P:$P,1,1),0)&gt;=I$2,"o","-")</f>
        <v>-</v>
      </c>
      <c r="J63" s="43" t="str">
        <f>IF(IFERROR(VLOOKUP($F63,$P:$P,1,1),0)&gt;=J$2,"o","-")</f>
        <v>-</v>
      </c>
      <c r="K63" s="43" t="str">
        <f>IF(IFERROR(VLOOKUP($F63,$P:$P,1,1),0)&gt;=K$2,"o","-")</f>
        <v>-</v>
      </c>
      <c r="L63" s="43" t="str">
        <f>IF(IFERROR(VLOOKUP($F63,$P:$P,1,1),0)&gt;=L$2,"o","-")</f>
        <v>-</v>
      </c>
      <c r="M63" s="43" t="str">
        <f>IF(IFERROR(VLOOKUP($F63,$P:$P,1,1),0)&gt;=M$2,"o","-")</f>
        <v>-</v>
      </c>
      <c r="N63" s="12">
        <f>IFERROR(VLOOKUP(F63,$P:$R,3,1),0)</f>
        <v>50000</v>
      </c>
    </row>
    <row r="64" spans="2:14">
      <c r="B64" s="9">
        <v>59</v>
      </c>
      <c r="C64" s="10" t="s">
        <v>59</v>
      </c>
      <c r="D64" s="10" t="s">
        <v>247</v>
      </c>
      <c r="E64" s="58">
        <v>42302333</v>
      </c>
      <c r="F64" s="39">
        <v>2</v>
      </c>
      <c r="G64" s="42" t="str">
        <f>IF(IFERROR(VLOOKUP($F64,$P:$P,1,1),0)&gt;=G$2,"o","-")</f>
        <v>o</v>
      </c>
      <c r="H64" s="43" t="str">
        <f>IF(IFERROR(VLOOKUP($F64,$P:$P,1,1),0)&gt;=H$2,"o","-")</f>
        <v>-</v>
      </c>
      <c r="I64" s="43" t="str">
        <f>IF(IFERROR(VLOOKUP($F64,$P:$P,1,1),0)&gt;=I$2,"o","-")</f>
        <v>-</v>
      </c>
      <c r="J64" s="43" t="str">
        <f>IF(IFERROR(VLOOKUP($F64,$P:$P,1,1),0)&gt;=J$2,"o","-")</f>
        <v>-</v>
      </c>
      <c r="K64" s="43" t="str">
        <f>IF(IFERROR(VLOOKUP($F64,$P:$P,1,1),0)&gt;=K$2,"o","-")</f>
        <v>-</v>
      </c>
      <c r="L64" s="43" t="str">
        <f>IF(IFERROR(VLOOKUP($F64,$P:$P,1,1),0)&gt;=L$2,"o","-")</f>
        <v>-</v>
      </c>
      <c r="M64" s="43" t="str">
        <f>IF(IFERROR(VLOOKUP($F64,$P:$P,1,1),0)&gt;=M$2,"o","-")</f>
        <v>-</v>
      </c>
      <c r="N64" s="12">
        <f>IFERROR(VLOOKUP(F64,$P:$R,3,1),0)</f>
        <v>50000</v>
      </c>
    </row>
    <row r="65" spans="2:14">
      <c r="B65" s="9">
        <v>60</v>
      </c>
      <c r="C65" s="10" t="s">
        <v>60</v>
      </c>
      <c r="D65" s="10" t="s">
        <v>248</v>
      </c>
      <c r="E65" s="58">
        <v>31903383</v>
      </c>
      <c r="F65" s="39">
        <v>2</v>
      </c>
      <c r="G65" s="42" t="str">
        <f>IF(IFERROR(VLOOKUP($F65,$P:$P,1,1),0)&gt;=G$2,"o","-")</f>
        <v>o</v>
      </c>
      <c r="H65" s="43" t="str">
        <f>IF(IFERROR(VLOOKUP($F65,$P:$P,1,1),0)&gt;=H$2,"o","-")</f>
        <v>-</v>
      </c>
      <c r="I65" s="43" t="str">
        <f>IF(IFERROR(VLOOKUP($F65,$P:$P,1,1),0)&gt;=I$2,"o","-")</f>
        <v>-</v>
      </c>
      <c r="J65" s="43" t="str">
        <f>IF(IFERROR(VLOOKUP($F65,$P:$P,1,1),0)&gt;=J$2,"o","-")</f>
        <v>-</v>
      </c>
      <c r="K65" s="43" t="str">
        <f>IF(IFERROR(VLOOKUP($F65,$P:$P,1,1),0)&gt;=K$2,"o","-")</f>
        <v>-</v>
      </c>
      <c r="L65" s="43" t="str">
        <f>IF(IFERROR(VLOOKUP($F65,$P:$P,1,1),0)&gt;=L$2,"o","-")</f>
        <v>-</v>
      </c>
      <c r="M65" s="43" t="str">
        <f>IF(IFERROR(VLOOKUP($F65,$P:$P,1,1),0)&gt;=M$2,"o","-")</f>
        <v>-</v>
      </c>
      <c r="N65" s="12">
        <f>IFERROR(VLOOKUP(F65,$P:$R,3,1),0)</f>
        <v>50000</v>
      </c>
    </row>
    <row r="66" spans="2:14">
      <c r="B66" s="9">
        <v>61</v>
      </c>
      <c r="C66" s="10" t="s">
        <v>61</v>
      </c>
      <c r="D66" s="10" t="s">
        <v>249</v>
      </c>
      <c r="E66" s="58">
        <v>41303487</v>
      </c>
      <c r="F66" s="39">
        <v>2</v>
      </c>
      <c r="G66" s="42" t="str">
        <f>IF(IFERROR(VLOOKUP($F66,$P:$P,1,1),0)&gt;=G$2,"o","-")</f>
        <v>o</v>
      </c>
      <c r="H66" s="43" t="str">
        <f>IF(IFERROR(VLOOKUP($F66,$P:$P,1,1),0)&gt;=H$2,"o","-")</f>
        <v>-</v>
      </c>
      <c r="I66" s="43" t="str">
        <f>IF(IFERROR(VLOOKUP($F66,$P:$P,1,1),0)&gt;=I$2,"o","-")</f>
        <v>-</v>
      </c>
      <c r="J66" s="43" t="str">
        <f>IF(IFERROR(VLOOKUP($F66,$P:$P,1,1),0)&gt;=J$2,"o","-")</f>
        <v>-</v>
      </c>
      <c r="K66" s="43" t="str">
        <f>IF(IFERROR(VLOOKUP($F66,$P:$P,1,1),0)&gt;=K$2,"o","-")</f>
        <v>-</v>
      </c>
      <c r="L66" s="43" t="str">
        <f>IF(IFERROR(VLOOKUP($F66,$P:$P,1,1),0)&gt;=L$2,"o","-")</f>
        <v>-</v>
      </c>
      <c r="M66" s="43" t="str">
        <f>IF(IFERROR(VLOOKUP($F66,$P:$P,1,1),0)&gt;=M$2,"o","-")</f>
        <v>-</v>
      </c>
      <c r="N66" s="12">
        <f>IFERROR(VLOOKUP(F66,$P:$R,3,1),0)</f>
        <v>50000</v>
      </c>
    </row>
    <row r="67" spans="2:14">
      <c r="B67" s="9">
        <v>62</v>
      </c>
      <c r="C67" s="10" t="s">
        <v>62</v>
      </c>
      <c r="D67" s="10" t="s">
        <v>250</v>
      </c>
      <c r="E67" s="58">
        <v>41506978</v>
      </c>
      <c r="F67" s="39">
        <v>2</v>
      </c>
      <c r="G67" s="42" t="str">
        <f>IF(IFERROR(VLOOKUP($F67,$P:$P,1,1),0)&gt;=G$2,"o","-")</f>
        <v>o</v>
      </c>
      <c r="H67" s="43" t="str">
        <f>IF(IFERROR(VLOOKUP($F67,$P:$P,1,1),0)&gt;=H$2,"o","-")</f>
        <v>-</v>
      </c>
      <c r="I67" s="43" t="str">
        <f>IF(IFERROR(VLOOKUP($F67,$P:$P,1,1),0)&gt;=I$2,"o","-")</f>
        <v>-</v>
      </c>
      <c r="J67" s="43" t="str">
        <f>IF(IFERROR(VLOOKUP($F67,$P:$P,1,1),0)&gt;=J$2,"o","-")</f>
        <v>-</v>
      </c>
      <c r="K67" s="43" t="str">
        <f>IF(IFERROR(VLOOKUP($F67,$P:$P,1,1),0)&gt;=K$2,"o","-")</f>
        <v>-</v>
      </c>
      <c r="L67" s="43" t="str">
        <f>IF(IFERROR(VLOOKUP($F67,$P:$P,1,1),0)&gt;=L$2,"o","-")</f>
        <v>-</v>
      </c>
      <c r="M67" s="43" t="str">
        <f>IF(IFERROR(VLOOKUP($F67,$P:$P,1,1),0)&gt;=M$2,"o","-")</f>
        <v>-</v>
      </c>
      <c r="N67" s="12">
        <f>IFERROR(VLOOKUP(F67,$P:$R,3,1),0)</f>
        <v>50000</v>
      </c>
    </row>
    <row r="68" spans="2:14">
      <c r="B68" s="9">
        <v>63</v>
      </c>
      <c r="C68" s="10" t="s">
        <v>63</v>
      </c>
      <c r="D68" s="10" t="s">
        <v>251</v>
      </c>
      <c r="E68" s="58">
        <v>41601675</v>
      </c>
      <c r="F68" s="39">
        <v>2</v>
      </c>
      <c r="G68" s="42" t="str">
        <f>IF(IFERROR(VLOOKUP($F68,$P:$P,1,1),0)&gt;=G$2,"o","-")</f>
        <v>o</v>
      </c>
      <c r="H68" s="43" t="str">
        <f>IF(IFERROR(VLOOKUP($F68,$P:$P,1,1),0)&gt;=H$2,"o","-")</f>
        <v>-</v>
      </c>
      <c r="I68" s="43" t="str">
        <f>IF(IFERROR(VLOOKUP($F68,$P:$P,1,1),0)&gt;=I$2,"o","-")</f>
        <v>-</v>
      </c>
      <c r="J68" s="43" t="str">
        <f>IF(IFERROR(VLOOKUP($F68,$P:$P,1,1),0)&gt;=J$2,"o","-")</f>
        <v>-</v>
      </c>
      <c r="K68" s="43" t="str">
        <f>IF(IFERROR(VLOOKUP($F68,$P:$P,1,1),0)&gt;=K$2,"o","-")</f>
        <v>-</v>
      </c>
      <c r="L68" s="43" t="str">
        <f>IF(IFERROR(VLOOKUP($F68,$P:$P,1,1),0)&gt;=L$2,"o","-")</f>
        <v>-</v>
      </c>
      <c r="M68" s="43" t="str">
        <f>IF(IFERROR(VLOOKUP($F68,$P:$P,1,1),0)&gt;=M$2,"o","-")</f>
        <v>-</v>
      </c>
      <c r="N68" s="12">
        <f>IFERROR(VLOOKUP(F68,$P:$R,3,1),0)</f>
        <v>50000</v>
      </c>
    </row>
    <row r="69" spans="2:14">
      <c r="B69" s="9">
        <v>64</v>
      </c>
      <c r="C69" s="10" t="s">
        <v>64</v>
      </c>
      <c r="D69" s="10" t="s">
        <v>252</v>
      </c>
      <c r="E69" s="58">
        <v>41605617</v>
      </c>
      <c r="F69" s="39">
        <v>2</v>
      </c>
      <c r="G69" s="42" t="str">
        <f>IF(IFERROR(VLOOKUP($F69,$P:$P,1,1),0)&gt;=G$2,"o","-")</f>
        <v>o</v>
      </c>
      <c r="H69" s="43" t="str">
        <f>IF(IFERROR(VLOOKUP($F69,$P:$P,1,1),0)&gt;=H$2,"o","-")</f>
        <v>-</v>
      </c>
      <c r="I69" s="43" t="str">
        <f>IF(IFERROR(VLOOKUP($F69,$P:$P,1,1),0)&gt;=I$2,"o","-")</f>
        <v>-</v>
      </c>
      <c r="J69" s="43" t="str">
        <f>IF(IFERROR(VLOOKUP($F69,$P:$P,1,1),0)&gt;=J$2,"o","-")</f>
        <v>-</v>
      </c>
      <c r="K69" s="43" t="str">
        <f>IF(IFERROR(VLOOKUP($F69,$P:$P,1,1),0)&gt;=K$2,"o","-")</f>
        <v>-</v>
      </c>
      <c r="L69" s="43" t="str">
        <f>IF(IFERROR(VLOOKUP($F69,$P:$P,1,1),0)&gt;=L$2,"o","-")</f>
        <v>-</v>
      </c>
      <c r="M69" s="43" t="str">
        <f>IF(IFERROR(VLOOKUP($F69,$P:$P,1,1),0)&gt;=M$2,"o","-")</f>
        <v>-</v>
      </c>
      <c r="N69" s="12">
        <f>IFERROR(VLOOKUP(F69,$P:$R,3,1),0)</f>
        <v>50000</v>
      </c>
    </row>
    <row r="70" spans="2:14">
      <c r="B70" s="9">
        <v>65</v>
      </c>
      <c r="C70" s="10" t="s">
        <v>65</v>
      </c>
      <c r="D70" s="10" t="s">
        <v>253</v>
      </c>
      <c r="E70" s="58">
        <v>32409183</v>
      </c>
      <c r="F70" s="39">
        <v>2</v>
      </c>
      <c r="G70" s="42" t="str">
        <f>IF(IFERROR(VLOOKUP($F70,$P:$P,1,1),0)&gt;=G$2,"o","-")</f>
        <v>o</v>
      </c>
      <c r="H70" s="43" t="str">
        <f>IF(IFERROR(VLOOKUP($F70,$P:$P,1,1),0)&gt;=H$2,"o","-")</f>
        <v>-</v>
      </c>
      <c r="I70" s="43" t="str">
        <f>IF(IFERROR(VLOOKUP($F70,$P:$P,1,1),0)&gt;=I$2,"o","-")</f>
        <v>-</v>
      </c>
      <c r="J70" s="43" t="str">
        <f>IF(IFERROR(VLOOKUP($F70,$P:$P,1,1),0)&gt;=J$2,"o","-")</f>
        <v>-</v>
      </c>
      <c r="K70" s="43" t="str">
        <f>IF(IFERROR(VLOOKUP($F70,$P:$P,1,1),0)&gt;=K$2,"o","-")</f>
        <v>-</v>
      </c>
      <c r="L70" s="43" t="str">
        <f>IF(IFERROR(VLOOKUP($F70,$P:$P,1,1),0)&gt;=L$2,"o","-")</f>
        <v>-</v>
      </c>
      <c r="M70" s="43" t="str">
        <f>IF(IFERROR(VLOOKUP($F70,$P:$P,1,1),0)&gt;=M$2,"o","-")</f>
        <v>-</v>
      </c>
      <c r="N70" s="12">
        <f>IFERROR(VLOOKUP(F70,$P:$R,3,1),0)</f>
        <v>50000</v>
      </c>
    </row>
    <row r="71" spans="2:14">
      <c r="B71" s="9">
        <v>66</v>
      </c>
      <c r="C71" s="10" t="s">
        <v>66</v>
      </c>
      <c r="D71" s="10" t="s">
        <v>254</v>
      </c>
      <c r="E71" s="58">
        <v>40702665</v>
      </c>
      <c r="F71" s="39">
        <v>2</v>
      </c>
      <c r="G71" s="42" t="str">
        <f>IF(IFERROR(VLOOKUP($F71,$P:$P,1,1),0)&gt;=G$2,"o","-")</f>
        <v>o</v>
      </c>
      <c r="H71" s="43" t="str">
        <f>IF(IFERROR(VLOOKUP($F71,$P:$P,1,1),0)&gt;=H$2,"o","-")</f>
        <v>-</v>
      </c>
      <c r="I71" s="43" t="str">
        <f>IF(IFERROR(VLOOKUP($F71,$P:$P,1,1),0)&gt;=I$2,"o","-")</f>
        <v>-</v>
      </c>
      <c r="J71" s="43" t="str">
        <f>IF(IFERROR(VLOOKUP($F71,$P:$P,1,1),0)&gt;=J$2,"o","-")</f>
        <v>-</v>
      </c>
      <c r="K71" s="43" t="str">
        <f>IF(IFERROR(VLOOKUP($F71,$P:$P,1,1),0)&gt;=K$2,"o","-")</f>
        <v>-</v>
      </c>
      <c r="L71" s="43" t="str">
        <f>IF(IFERROR(VLOOKUP($F71,$P:$P,1,1),0)&gt;=L$2,"o","-")</f>
        <v>-</v>
      </c>
      <c r="M71" s="43" t="str">
        <f>IF(IFERROR(VLOOKUP($F71,$P:$P,1,1),0)&gt;=M$2,"o","-")</f>
        <v>-</v>
      </c>
      <c r="N71" s="12">
        <f>IFERROR(VLOOKUP(F71,$P:$R,3,1),0)</f>
        <v>50000</v>
      </c>
    </row>
    <row r="72" spans="2:14">
      <c r="B72" s="9">
        <v>67</v>
      </c>
      <c r="C72" s="10" t="s">
        <v>67</v>
      </c>
      <c r="D72" s="10" t="s">
        <v>255</v>
      </c>
      <c r="E72" s="58">
        <v>32406555</v>
      </c>
      <c r="F72" s="39">
        <v>2</v>
      </c>
      <c r="G72" s="42" t="str">
        <f>IF(IFERROR(VLOOKUP($F72,$P:$P,1,1),0)&gt;=G$2,"o","-")</f>
        <v>o</v>
      </c>
      <c r="H72" s="43" t="str">
        <f>IF(IFERROR(VLOOKUP($F72,$P:$P,1,1),0)&gt;=H$2,"o","-")</f>
        <v>-</v>
      </c>
      <c r="I72" s="43" t="str">
        <f>IF(IFERROR(VLOOKUP($F72,$P:$P,1,1),0)&gt;=I$2,"o","-")</f>
        <v>-</v>
      </c>
      <c r="J72" s="43" t="str">
        <f>IF(IFERROR(VLOOKUP($F72,$P:$P,1,1),0)&gt;=J$2,"o","-")</f>
        <v>-</v>
      </c>
      <c r="K72" s="43" t="str">
        <f>IF(IFERROR(VLOOKUP($F72,$P:$P,1,1),0)&gt;=K$2,"o","-")</f>
        <v>-</v>
      </c>
      <c r="L72" s="43" t="str">
        <f>IF(IFERROR(VLOOKUP($F72,$P:$P,1,1),0)&gt;=L$2,"o","-")</f>
        <v>-</v>
      </c>
      <c r="M72" s="43" t="str">
        <f>IF(IFERROR(VLOOKUP($F72,$P:$P,1,1),0)&gt;=M$2,"o","-")</f>
        <v>-</v>
      </c>
      <c r="N72" s="12">
        <f>IFERROR(VLOOKUP(F72,$P:$R,3,1),0)</f>
        <v>50000</v>
      </c>
    </row>
    <row r="73" spans="2:14">
      <c r="B73" s="9">
        <v>68</v>
      </c>
      <c r="C73" s="10" t="s">
        <v>68</v>
      </c>
      <c r="D73" s="10" t="s">
        <v>256</v>
      </c>
      <c r="E73" s="58">
        <v>32200373</v>
      </c>
      <c r="F73" s="39">
        <v>2</v>
      </c>
      <c r="G73" s="42" t="str">
        <f>IF(IFERROR(VLOOKUP($F73,$P:$P,1,1),0)&gt;=G$2,"o","-")</f>
        <v>o</v>
      </c>
      <c r="H73" s="43" t="str">
        <f>IF(IFERROR(VLOOKUP($F73,$P:$P,1,1),0)&gt;=H$2,"o","-")</f>
        <v>-</v>
      </c>
      <c r="I73" s="43" t="str">
        <f>IF(IFERROR(VLOOKUP($F73,$P:$P,1,1),0)&gt;=I$2,"o","-")</f>
        <v>-</v>
      </c>
      <c r="J73" s="43" t="str">
        <f>IF(IFERROR(VLOOKUP($F73,$P:$P,1,1),0)&gt;=J$2,"o","-")</f>
        <v>-</v>
      </c>
      <c r="K73" s="43" t="str">
        <f>IF(IFERROR(VLOOKUP($F73,$P:$P,1,1),0)&gt;=K$2,"o","-")</f>
        <v>-</v>
      </c>
      <c r="L73" s="43" t="str">
        <f>IF(IFERROR(VLOOKUP($F73,$P:$P,1,1),0)&gt;=L$2,"o","-")</f>
        <v>-</v>
      </c>
      <c r="M73" s="43" t="str">
        <f>IF(IFERROR(VLOOKUP($F73,$P:$P,1,1),0)&gt;=M$2,"o","-")</f>
        <v>-</v>
      </c>
      <c r="N73" s="12">
        <f>IFERROR(VLOOKUP(F73,$P:$R,3,1),0)</f>
        <v>50000</v>
      </c>
    </row>
    <row r="74" spans="2:14">
      <c r="B74" s="9">
        <v>69</v>
      </c>
      <c r="C74" s="10" t="s">
        <v>69</v>
      </c>
      <c r="D74" s="10" t="s">
        <v>257</v>
      </c>
      <c r="E74" s="58">
        <v>41401262</v>
      </c>
      <c r="F74" s="39">
        <v>2</v>
      </c>
      <c r="G74" s="42" t="str">
        <f>IF(IFERROR(VLOOKUP($F74,$P:$P,1,1),0)&gt;=G$2,"o","-")</f>
        <v>o</v>
      </c>
      <c r="H74" s="43" t="str">
        <f>IF(IFERROR(VLOOKUP($F74,$P:$P,1,1),0)&gt;=H$2,"o","-")</f>
        <v>-</v>
      </c>
      <c r="I74" s="43" t="str">
        <f>IF(IFERROR(VLOOKUP($F74,$P:$P,1,1),0)&gt;=I$2,"o","-")</f>
        <v>-</v>
      </c>
      <c r="J74" s="43" t="str">
        <f>IF(IFERROR(VLOOKUP($F74,$P:$P,1,1),0)&gt;=J$2,"o","-")</f>
        <v>-</v>
      </c>
      <c r="K74" s="43" t="str">
        <f>IF(IFERROR(VLOOKUP($F74,$P:$P,1,1),0)&gt;=K$2,"o","-")</f>
        <v>-</v>
      </c>
      <c r="L74" s="43" t="str">
        <f>IF(IFERROR(VLOOKUP($F74,$P:$P,1,1),0)&gt;=L$2,"o","-")</f>
        <v>-</v>
      </c>
      <c r="M74" s="43" t="str">
        <f>IF(IFERROR(VLOOKUP($F74,$P:$P,1,1),0)&gt;=M$2,"o","-")</f>
        <v>-</v>
      </c>
      <c r="N74" s="12">
        <f>IFERROR(VLOOKUP(F74,$P:$R,3,1),0)</f>
        <v>50000</v>
      </c>
    </row>
    <row r="75" spans="2:14">
      <c r="B75" s="9">
        <v>70</v>
      </c>
      <c r="C75" s="10" t="s">
        <v>70</v>
      </c>
      <c r="D75" s="10" t="s">
        <v>258</v>
      </c>
      <c r="E75" s="58">
        <v>31903644</v>
      </c>
      <c r="F75" s="39">
        <v>2</v>
      </c>
      <c r="G75" s="42" t="str">
        <f>IF(IFERROR(VLOOKUP($F75,$P:$P,1,1),0)&gt;=G$2,"o","-")</f>
        <v>o</v>
      </c>
      <c r="H75" s="43" t="str">
        <f>IF(IFERROR(VLOOKUP($F75,$P:$P,1,1),0)&gt;=H$2,"o","-")</f>
        <v>-</v>
      </c>
      <c r="I75" s="43" t="str">
        <f>IF(IFERROR(VLOOKUP($F75,$P:$P,1,1),0)&gt;=I$2,"o","-")</f>
        <v>-</v>
      </c>
      <c r="J75" s="43" t="str">
        <f>IF(IFERROR(VLOOKUP($F75,$P:$P,1,1),0)&gt;=J$2,"o","-")</f>
        <v>-</v>
      </c>
      <c r="K75" s="43" t="str">
        <f>IF(IFERROR(VLOOKUP($F75,$P:$P,1,1),0)&gt;=K$2,"o","-")</f>
        <v>-</v>
      </c>
      <c r="L75" s="43" t="str">
        <f>IF(IFERROR(VLOOKUP($F75,$P:$P,1,1),0)&gt;=L$2,"o","-")</f>
        <v>-</v>
      </c>
      <c r="M75" s="43" t="str">
        <f>IF(IFERROR(VLOOKUP($F75,$P:$P,1,1),0)&gt;=M$2,"o","-")</f>
        <v>-</v>
      </c>
      <c r="N75" s="12">
        <f>IFERROR(VLOOKUP(F75,$P:$R,3,1),0)</f>
        <v>50000</v>
      </c>
    </row>
    <row r="76" spans="2:14">
      <c r="B76" s="9">
        <v>71</v>
      </c>
      <c r="C76" s="10" t="s">
        <v>71</v>
      </c>
      <c r="D76" s="10" t="s">
        <v>259</v>
      </c>
      <c r="E76" s="58">
        <v>40737748</v>
      </c>
      <c r="F76" s="39">
        <v>2</v>
      </c>
      <c r="G76" s="42" t="str">
        <f>IF(IFERROR(VLOOKUP($F76,$P:$P,1,1),0)&gt;=G$2,"o","-")</f>
        <v>o</v>
      </c>
      <c r="H76" s="43" t="str">
        <f>IF(IFERROR(VLOOKUP($F76,$P:$P,1,1),0)&gt;=H$2,"o","-")</f>
        <v>-</v>
      </c>
      <c r="I76" s="43" t="str">
        <f>IF(IFERROR(VLOOKUP($F76,$P:$P,1,1),0)&gt;=I$2,"o","-")</f>
        <v>-</v>
      </c>
      <c r="J76" s="43" t="str">
        <f>IF(IFERROR(VLOOKUP($F76,$P:$P,1,1),0)&gt;=J$2,"o","-")</f>
        <v>-</v>
      </c>
      <c r="K76" s="43" t="str">
        <f>IF(IFERROR(VLOOKUP($F76,$P:$P,1,1),0)&gt;=K$2,"o","-")</f>
        <v>-</v>
      </c>
      <c r="L76" s="43" t="str">
        <f>IF(IFERROR(VLOOKUP($F76,$P:$P,1,1),0)&gt;=L$2,"o","-")</f>
        <v>-</v>
      </c>
      <c r="M76" s="43" t="str">
        <f>IF(IFERROR(VLOOKUP($F76,$P:$P,1,1),0)&gt;=M$2,"o","-")</f>
        <v>-</v>
      </c>
      <c r="N76" s="12">
        <f>IFERROR(VLOOKUP(F76,$P:$R,3,1),0)</f>
        <v>50000</v>
      </c>
    </row>
    <row r="77" spans="2:14">
      <c r="B77" s="9">
        <v>72</v>
      </c>
      <c r="C77" s="10" t="s">
        <v>72</v>
      </c>
      <c r="D77" s="10" t="s">
        <v>260</v>
      </c>
      <c r="E77" s="58">
        <v>40700414</v>
      </c>
      <c r="F77" s="39">
        <v>2</v>
      </c>
      <c r="G77" s="42" t="str">
        <f>IF(IFERROR(VLOOKUP($F77,$P:$P,1,1),0)&gt;=G$2,"o","-")</f>
        <v>o</v>
      </c>
      <c r="H77" s="43" t="str">
        <f>IF(IFERROR(VLOOKUP($F77,$P:$P,1,1),0)&gt;=H$2,"o","-")</f>
        <v>-</v>
      </c>
      <c r="I77" s="43" t="str">
        <f>IF(IFERROR(VLOOKUP($F77,$P:$P,1,1),0)&gt;=I$2,"o","-")</f>
        <v>-</v>
      </c>
      <c r="J77" s="43" t="str">
        <f>IF(IFERROR(VLOOKUP($F77,$P:$P,1,1),0)&gt;=J$2,"o","-")</f>
        <v>-</v>
      </c>
      <c r="K77" s="43" t="str">
        <f>IF(IFERROR(VLOOKUP($F77,$P:$P,1,1),0)&gt;=K$2,"o","-")</f>
        <v>-</v>
      </c>
      <c r="L77" s="43" t="str">
        <f>IF(IFERROR(VLOOKUP($F77,$P:$P,1,1),0)&gt;=L$2,"o","-")</f>
        <v>-</v>
      </c>
      <c r="M77" s="43" t="str">
        <f>IF(IFERROR(VLOOKUP($F77,$P:$P,1,1),0)&gt;=M$2,"o","-")</f>
        <v>-</v>
      </c>
      <c r="N77" s="12">
        <f>IFERROR(VLOOKUP(F77,$P:$R,3,1),0)</f>
        <v>50000</v>
      </c>
    </row>
    <row r="78" spans="2:14">
      <c r="B78" s="9">
        <v>73</v>
      </c>
      <c r="C78" s="10" t="s">
        <v>73</v>
      </c>
      <c r="D78" s="10" t="s">
        <v>261</v>
      </c>
      <c r="E78" s="58">
        <v>32001374</v>
      </c>
      <c r="F78" s="39">
        <v>2</v>
      </c>
      <c r="G78" s="42" t="str">
        <f>IF(IFERROR(VLOOKUP($F78,$P:$P,1,1),0)&gt;=G$2,"o","-")</f>
        <v>o</v>
      </c>
      <c r="H78" s="43" t="str">
        <f>IF(IFERROR(VLOOKUP($F78,$P:$P,1,1),0)&gt;=H$2,"o","-")</f>
        <v>-</v>
      </c>
      <c r="I78" s="43" t="str">
        <f>IF(IFERROR(VLOOKUP($F78,$P:$P,1,1),0)&gt;=I$2,"o","-")</f>
        <v>-</v>
      </c>
      <c r="J78" s="43" t="str">
        <f>IF(IFERROR(VLOOKUP($F78,$P:$P,1,1),0)&gt;=J$2,"o","-")</f>
        <v>-</v>
      </c>
      <c r="K78" s="43" t="str">
        <f>IF(IFERROR(VLOOKUP($F78,$P:$P,1,1),0)&gt;=K$2,"o","-")</f>
        <v>-</v>
      </c>
      <c r="L78" s="43" t="str">
        <f>IF(IFERROR(VLOOKUP($F78,$P:$P,1,1),0)&gt;=L$2,"o","-")</f>
        <v>-</v>
      </c>
      <c r="M78" s="43" t="str">
        <f>IF(IFERROR(VLOOKUP($F78,$P:$P,1,1),0)&gt;=M$2,"o","-")</f>
        <v>-</v>
      </c>
      <c r="N78" s="12">
        <f>IFERROR(VLOOKUP(F78,$P:$R,3,1),0)</f>
        <v>50000</v>
      </c>
    </row>
    <row r="79" spans="2:14">
      <c r="B79" s="9">
        <v>74</v>
      </c>
      <c r="C79" s="10" t="s">
        <v>74</v>
      </c>
      <c r="D79" s="10" t="s">
        <v>262</v>
      </c>
      <c r="E79" s="58">
        <v>32300273</v>
      </c>
      <c r="F79" s="39">
        <v>2</v>
      </c>
      <c r="G79" s="42" t="str">
        <f>IF(IFERROR(VLOOKUP($F79,$P:$P,1,1),0)&gt;=G$2,"o","-")</f>
        <v>o</v>
      </c>
      <c r="H79" s="43" t="str">
        <f>IF(IFERROR(VLOOKUP($F79,$P:$P,1,1),0)&gt;=H$2,"o","-")</f>
        <v>-</v>
      </c>
      <c r="I79" s="43" t="str">
        <f>IF(IFERROR(VLOOKUP($F79,$P:$P,1,1),0)&gt;=I$2,"o","-")</f>
        <v>-</v>
      </c>
      <c r="J79" s="43" t="str">
        <f>IF(IFERROR(VLOOKUP($F79,$P:$P,1,1),0)&gt;=J$2,"o","-")</f>
        <v>-</v>
      </c>
      <c r="K79" s="43" t="str">
        <f>IF(IFERROR(VLOOKUP($F79,$P:$P,1,1),0)&gt;=K$2,"o","-")</f>
        <v>-</v>
      </c>
      <c r="L79" s="43" t="str">
        <f>IF(IFERROR(VLOOKUP($F79,$P:$P,1,1),0)&gt;=L$2,"o","-")</f>
        <v>-</v>
      </c>
      <c r="M79" s="43" t="str">
        <f>IF(IFERROR(VLOOKUP($F79,$P:$P,1,1),0)&gt;=M$2,"o","-")</f>
        <v>-</v>
      </c>
      <c r="N79" s="12">
        <f>IFERROR(VLOOKUP(F79,$P:$R,3,1),0)</f>
        <v>50000</v>
      </c>
    </row>
    <row r="80" spans="2:14">
      <c r="B80" s="9">
        <v>75</v>
      </c>
      <c r="C80" s="10" t="s">
        <v>75</v>
      </c>
      <c r="D80" s="10" t="s">
        <v>263</v>
      </c>
      <c r="E80" s="58">
        <v>32202047</v>
      </c>
      <c r="F80" s="39">
        <v>2</v>
      </c>
      <c r="G80" s="42" t="str">
        <f>IF(IFERROR(VLOOKUP($F80,$P:$P,1,1),0)&gt;=G$2,"o","-")</f>
        <v>o</v>
      </c>
      <c r="H80" s="43" t="str">
        <f>IF(IFERROR(VLOOKUP($F80,$P:$P,1,1),0)&gt;=H$2,"o","-")</f>
        <v>-</v>
      </c>
      <c r="I80" s="43" t="str">
        <f>IF(IFERROR(VLOOKUP($F80,$P:$P,1,1),0)&gt;=I$2,"o","-")</f>
        <v>-</v>
      </c>
      <c r="J80" s="43" t="str">
        <f>IF(IFERROR(VLOOKUP($F80,$P:$P,1,1),0)&gt;=J$2,"o","-")</f>
        <v>-</v>
      </c>
      <c r="K80" s="43" t="str">
        <f>IF(IFERROR(VLOOKUP($F80,$P:$P,1,1),0)&gt;=K$2,"o","-")</f>
        <v>-</v>
      </c>
      <c r="L80" s="43" t="str">
        <f>IF(IFERROR(VLOOKUP($F80,$P:$P,1,1),0)&gt;=L$2,"o","-")</f>
        <v>-</v>
      </c>
      <c r="M80" s="43" t="str">
        <f>IF(IFERROR(VLOOKUP($F80,$P:$P,1,1),0)&gt;=M$2,"o","-")</f>
        <v>-</v>
      </c>
      <c r="N80" s="12">
        <f>IFERROR(VLOOKUP(F80,$P:$R,3,1),0)</f>
        <v>50000</v>
      </c>
    </row>
    <row r="81" spans="2:14">
      <c r="B81" s="9">
        <v>76</v>
      </c>
      <c r="C81" s="10" t="s">
        <v>76</v>
      </c>
      <c r="D81" s="10" t="s">
        <v>264</v>
      </c>
      <c r="E81" s="58">
        <v>42201380</v>
      </c>
      <c r="F81" s="39">
        <v>2</v>
      </c>
      <c r="G81" s="42" t="str">
        <f>IF(IFERROR(VLOOKUP($F81,$P:$P,1,1),0)&gt;=G$2,"o","-")</f>
        <v>o</v>
      </c>
      <c r="H81" s="43" t="str">
        <f>IF(IFERROR(VLOOKUP($F81,$P:$P,1,1),0)&gt;=H$2,"o","-")</f>
        <v>-</v>
      </c>
      <c r="I81" s="43" t="str">
        <f>IF(IFERROR(VLOOKUP($F81,$P:$P,1,1),0)&gt;=I$2,"o","-")</f>
        <v>-</v>
      </c>
      <c r="J81" s="43" t="str">
        <f>IF(IFERROR(VLOOKUP($F81,$P:$P,1,1),0)&gt;=J$2,"o","-")</f>
        <v>-</v>
      </c>
      <c r="K81" s="43" t="str">
        <f>IF(IFERROR(VLOOKUP($F81,$P:$P,1,1),0)&gt;=K$2,"o","-")</f>
        <v>-</v>
      </c>
      <c r="L81" s="43" t="str">
        <f>IF(IFERROR(VLOOKUP($F81,$P:$P,1,1),0)&gt;=L$2,"o","-")</f>
        <v>-</v>
      </c>
      <c r="M81" s="43" t="str">
        <f>IF(IFERROR(VLOOKUP($F81,$P:$P,1,1),0)&gt;=M$2,"o","-")</f>
        <v>-</v>
      </c>
      <c r="N81" s="12">
        <f>IFERROR(VLOOKUP(F81,$P:$R,3,1),0)</f>
        <v>50000</v>
      </c>
    </row>
    <row r="82" spans="2:14">
      <c r="B82" s="9">
        <v>77</v>
      </c>
      <c r="C82" s="10" t="s">
        <v>77</v>
      </c>
      <c r="D82" s="10" t="s">
        <v>265</v>
      </c>
      <c r="E82" s="58">
        <v>42403809</v>
      </c>
      <c r="F82" s="39">
        <v>2</v>
      </c>
      <c r="G82" s="42" t="str">
        <f>IF(IFERROR(VLOOKUP($F82,$P:$P,1,1),0)&gt;=G$2,"o","-")</f>
        <v>o</v>
      </c>
      <c r="H82" s="43" t="str">
        <f>IF(IFERROR(VLOOKUP($F82,$P:$P,1,1),0)&gt;=H$2,"o","-")</f>
        <v>-</v>
      </c>
      <c r="I82" s="43" t="str">
        <f>IF(IFERROR(VLOOKUP($F82,$P:$P,1,1),0)&gt;=I$2,"o","-")</f>
        <v>-</v>
      </c>
      <c r="J82" s="43" t="str">
        <f>IF(IFERROR(VLOOKUP($F82,$P:$P,1,1),0)&gt;=J$2,"o","-")</f>
        <v>-</v>
      </c>
      <c r="K82" s="43" t="str">
        <f>IF(IFERROR(VLOOKUP($F82,$P:$P,1,1),0)&gt;=K$2,"o","-")</f>
        <v>-</v>
      </c>
      <c r="L82" s="43" t="str">
        <f>IF(IFERROR(VLOOKUP($F82,$P:$P,1,1),0)&gt;=L$2,"o","-")</f>
        <v>-</v>
      </c>
      <c r="M82" s="43" t="str">
        <f>IF(IFERROR(VLOOKUP($F82,$P:$P,1,1),0)&gt;=M$2,"o","-")</f>
        <v>-</v>
      </c>
      <c r="N82" s="12">
        <f>IFERROR(VLOOKUP(F82,$P:$R,3,1),0)</f>
        <v>50000</v>
      </c>
    </row>
    <row r="83" spans="2:14">
      <c r="B83" s="9">
        <v>78</v>
      </c>
      <c r="C83" s="10" t="s">
        <v>78</v>
      </c>
      <c r="D83" s="10" t="s">
        <v>266</v>
      </c>
      <c r="E83" s="58">
        <v>32000113</v>
      </c>
      <c r="F83" s="39">
        <v>2</v>
      </c>
      <c r="G83" s="42" t="str">
        <f>IF(IFERROR(VLOOKUP($F83,$P:$P,1,1),0)&gt;=G$2,"o","-")</f>
        <v>o</v>
      </c>
      <c r="H83" s="43" t="str">
        <f>IF(IFERROR(VLOOKUP($F83,$P:$P,1,1),0)&gt;=H$2,"o","-")</f>
        <v>-</v>
      </c>
      <c r="I83" s="43" t="str">
        <f>IF(IFERROR(VLOOKUP($F83,$P:$P,1,1),0)&gt;=I$2,"o","-")</f>
        <v>-</v>
      </c>
      <c r="J83" s="43" t="str">
        <f>IF(IFERROR(VLOOKUP($F83,$P:$P,1,1),0)&gt;=J$2,"o","-")</f>
        <v>-</v>
      </c>
      <c r="K83" s="43" t="str">
        <f>IF(IFERROR(VLOOKUP($F83,$P:$P,1,1),0)&gt;=K$2,"o","-")</f>
        <v>-</v>
      </c>
      <c r="L83" s="43" t="str">
        <f>IF(IFERROR(VLOOKUP($F83,$P:$P,1,1),0)&gt;=L$2,"o","-")</f>
        <v>-</v>
      </c>
      <c r="M83" s="43" t="str">
        <f>IF(IFERROR(VLOOKUP($F83,$P:$P,1,1),0)&gt;=M$2,"o","-")</f>
        <v>-</v>
      </c>
      <c r="N83" s="12">
        <f>IFERROR(VLOOKUP(F83,$P:$R,3,1),0)</f>
        <v>50000</v>
      </c>
    </row>
    <row r="84" spans="2:14">
      <c r="B84" s="9">
        <v>79</v>
      </c>
      <c r="C84" s="10" t="s">
        <v>79</v>
      </c>
      <c r="D84" s="10" t="s">
        <v>267</v>
      </c>
      <c r="E84" s="58">
        <v>40713960</v>
      </c>
      <c r="F84" s="39">
        <v>2</v>
      </c>
      <c r="G84" s="42" t="str">
        <f>IF(IFERROR(VLOOKUP($F84,$P:$P,1,1),0)&gt;=G$2,"o","-")</f>
        <v>o</v>
      </c>
      <c r="H84" s="43" t="str">
        <f>IF(IFERROR(VLOOKUP($F84,$P:$P,1,1),0)&gt;=H$2,"o","-")</f>
        <v>-</v>
      </c>
      <c r="I84" s="43" t="str">
        <f>IF(IFERROR(VLOOKUP($F84,$P:$P,1,1),0)&gt;=I$2,"o","-")</f>
        <v>-</v>
      </c>
      <c r="J84" s="43" t="str">
        <f>IF(IFERROR(VLOOKUP($F84,$P:$P,1,1),0)&gt;=J$2,"o","-")</f>
        <v>-</v>
      </c>
      <c r="K84" s="43" t="str">
        <f>IF(IFERROR(VLOOKUP($F84,$P:$P,1,1),0)&gt;=K$2,"o","-")</f>
        <v>-</v>
      </c>
      <c r="L84" s="43" t="str">
        <f>IF(IFERROR(VLOOKUP($F84,$P:$P,1,1),0)&gt;=L$2,"o","-")</f>
        <v>-</v>
      </c>
      <c r="M84" s="43" t="str">
        <f>IF(IFERROR(VLOOKUP($F84,$P:$P,1,1),0)&gt;=M$2,"o","-")</f>
        <v>-</v>
      </c>
      <c r="N84" s="12">
        <f>IFERROR(VLOOKUP(F84,$P:$R,3,1),0)</f>
        <v>50000</v>
      </c>
    </row>
    <row r="85" spans="2:14">
      <c r="B85" s="9">
        <v>80</v>
      </c>
      <c r="C85" s="10" t="s">
        <v>80</v>
      </c>
      <c r="D85" s="10" t="s">
        <v>268</v>
      </c>
      <c r="E85" s="58">
        <v>32201895</v>
      </c>
      <c r="F85" s="39">
        <v>2</v>
      </c>
      <c r="G85" s="42" t="str">
        <f>IF(IFERROR(VLOOKUP($F85,$P:$P,1,1),0)&gt;=G$2,"o","-")</f>
        <v>o</v>
      </c>
      <c r="H85" s="43" t="str">
        <f>IF(IFERROR(VLOOKUP($F85,$P:$P,1,1),0)&gt;=H$2,"o","-")</f>
        <v>-</v>
      </c>
      <c r="I85" s="43" t="str">
        <f>IF(IFERROR(VLOOKUP($F85,$P:$P,1,1),0)&gt;=I$2,"o","-")</f>
        <v>-</v>
      </c>
      <c r="J85" s="43" t="str">
        <f>IF(IFERROR(VLOOKUP($F85,$P:$P,1,1),0)&gt;=J$2,"o","-")</f>
        <v>-</v>
      </c>
      <c r="K85" s="43" t="str">
        <f>IF(IFERROR(VLOOKUP($F85,$P:$P,1,1),0)&gt;=K$2,"o","-")</f>
        <v>-</v>
      </c>
      <c r="L85" s="43" t="str">
        <f>IF(IFERROR(VLOOKUP($F85,$P:$P,1,1),0)&gt;=L$2,"o","-")</f>
        <v>-</v>
      </c>
      <c r="M85" s="43" t="str">
        <f>IF(IFERROR(VLOOKUP($F85,$P:$P,1,1),0)&gt;=M$2,"o","-")</f>
        <v>-</v>
      </c>
      <c r="N85" s="12">
        <f>IFERROR(VLOOKUP(F85,$P:$R,3,1),0)</f>
        <v>50000</v>
      </c>
    </row>
    <row r="86" spans="2:14">
      <c r="B86" s="9">
        <v>81</v>
      </c>
      <c r="C86" s="10" t="s">
        <v>81</v>
      </c>
      <c r="D86" s="10" t="s">
        <v>269</v>
      </c>
      <c r="E86" s="58">
        <v>31503549</v>
      </c>
      <c r="F86" s="39">
        <v>2</v>
      </c>
      <c r="G86" s="42" t="str">
        <f>IF(IFERROR(VLOOKUP($F86,$P:$P,1,1),0)&gt;=G$2,"o","-")</f>
        <v>o</v>
      </c>
      <c r="H86" s="43" t="str">
        <f>IF(IFERROR(VLOOKUP($F86,$P:$P,1,1),0)&gt;=H$2,"o","-")</f>
        <v>-</v>
      </c>
      <c r="I86" s="43" t="str">
        <f>IF(IFERROR(VLOOKUP($F86,$P:$P,1,1),0)&gt;=I$2,"o","-")</f>
        <v>-</v>
      </c>
      <c r="J86" s="43" t="str">
        <f>IF(IFERROR(VLOOKUP($F86,$P:$P,1,1),0)&gt;=J$2,"o","-")</f>
        <v>-</v>
      </c>
      <c r="K86" s="43" t="str">
        <f>IF(IFERROR(VLOOKUP($F86,$P:$P,1,1),0)&gt;=K$2,"o","-")</f>
        <v>-</v>
      </c>
      <c r="L86" s="43" t="str">
        <f>IF(IFERROR(VLOOKUP($F86,$P:$P,1,1),0)&gt;=L$2,"o","-")</f>
        <v>-</v>
      </c>
      <c r="M86" s="43" t="str">
        <f>IF(IFERROR(VLOOKUP($F86,$P:$P,1,1),0)&gt;=M$2,"o","-")</f>
        <v>-</v>
      </c>
      <c r="N86" s="12">
        <f>IFERROR(VLOOKUP(F86,$P:$R,3,1),0)</f>
        <v>50000</v>
      </c>
    </row>
    <row r="87" spans="2:14">
      <c r="B87" s="9">
        <v>82</v>
      </c>
      <c r="C87" s="10" t="s">
        <v>82</v>
      </c>
      <c r="D87" s="10" t="s">
        <v>270</v>
      </c>
      <c r="E87" s="58">
        <v>41501900</v>
      </c>
      <c r="F87" s="39">
        <v>2</v>
      </c>
      <c r="G87" s="42" t="str">
        <f>IF(IFERROR(VLOOKUP($F87,$P:$P,1,1),0)&gt;=G$2,"o","-")</f>
        <v>o</v>
      </c>
      <c r="H87" s="43" t="str">
        <f>IF(IFERROR(VLOOKUP($F87,$P:$P,1,1),0)&gt;=H$2,"o","-")</f>
        <v>-</v>
      </c>
      <c r="I87" s="43" t="str">
        <f>IF(IFERROR(VLOOKUP($F87,$P:$P,1,1),0)&gt;=I$2,"o","-")</f>
        <v>-</v>
      </c>
      <c r="J87" s="43" t="str">
        <f>IF(IFERROR(VLOOKUP($F87,$P:$P,1,1),0)&gt;=J$2,"o","-")</f>
        <v>-</v>
      </c>
      <c r="K87" s="43" t="str">
        <f>IF(IFERROR(VLOOKUP($F87,$P:$P,1,1),0)&gt;=K$2,"o","-")</f>
        <v>-</v>
      </c>
      <c r="L87" s="43" t="str">
        <f>IF(IFERROR(VLOOKUP($F87,$P:$P,1,1),0)&gt;=L$2,"o","-")</f>
        <v>-</v>
      </c>
      <c r="M87" s="43" t="str">
        <f>IF(IFERROR(VLOOKUP($F87,$P:$P,1,1),0)&gt;=M$2,"o","-")</f>
        <v>-</v>
      </c>
      <c r="N87" s="12">
        <f>IFERROR(VLOOKUP(F87,$P:$R,3,1),0)</f>
        <v>50000</v>
      </c>
    </row>
    <row r="88" spans="2:14">
      <c r="B88" s="9">
        <v>83</v>
      </c>
      <c r="C88" s="10" t="s">
        <v>83</v>
      </c>
      <c r="D88" s="10" t="s">
        <v>271</v>
      </c>
      <c r="E88" s="58">
        <v>41200166</v>
      </c>
      <c r="F88" s="39">
        <v>2</v>
      </c>
      <c r="G88" s="42" t="str">
        <f>IF(IFERROR(VLOOKUP($F88,$P:$P,1,1),0)&gt;=G$2,"o","-")</f>
        <v>o</v>
      </c>
      <c r="H88" s="43" t="str">
        <f>IF(IFERROR(VLOOKUP($F88,$P:$P,1,1),0)&gt;=H$2,"o","-")</f>
        <v>-</v>
      </c>
      <c r="I88" s="43" t="str">
        <f>IF(IFERROR(VLOOKUP($F88,$P:$P,1,1),0)&gt;=I$2,"o","-")</f>
        <v>-</v>
      </c>
      <c r="J88" s="43" t="str">
        <f>IF(IFERROR(VLOOKUP($F88,$P:$P,1,1),0)&gt;=J$2,"o","-")</f>
        <v>-</v>
      </c>
      <c r="K88" s="43" t="str">
        <f>IF(IFERROR(VLOOKUP($F88,$P:$P,1,1),0)&gt;=K$2,"o","-")</f>
        <v>-</v>
      </c>
      <c r="L88" s="43" t="str">
        <f>IF(IFERROR(VLOOKUP($F88,$P:$P,1,1),0)&gt;=L$2,"o","-")</f>
        <v>-</v>
      </c>
      <c r="M88" s="43" t="str">
        <f>IF(IFERROR(VLOOKUP($F88,$P:$P,1,1),0)&gt;=M$2,"o","-")</f>
        <v>-</v>
      </c>
      <c r="N88" s="12">
        <f>IFERROR(VLOOKUP(F88,$P:$R,3,1),0)</f>
        <v>50000</v>
      </c>
    </row>
    <row r="89" spans="2:14">
      <c r="B89" s="9">
        <v>84</v>
      </c>
      <c r="C89" s="10" t="s">
        <v>84</v>
      </c>
      <c r="D89" s="10" t="s">
        <v>272</v>
      </c>
      <c r="E89" s="58">
        <v>41803860</v>
      </c>
      <c r="F89" s="39">
        <v>2</v>
      </c>
      <c r="G89" s="42" t="str">
        <f>IF(IFERROR(VLOOKUP($F89,$P:$P,1,1),0)&gt;=G$2,"o","-")</f>
        <v>o</v>
      </c>
      <c r="H89" s="43" t="str">
        <f>IF(IFERROR(VLOOKUP($F89,$P:$P,1,1),0)&gt;=H$2,"o","-")</f>
        <v>-</v>
      </c>
      <c r="I89" s="43" t="str">
        <f>IF(IFERROR(VLOOKUP($F89,$P:$P,1,1),0)&gt;=I$2,"o","-")</f>
        <v>-</v>
      </c>
      <c r="J89" s="43" t="str">
        <f>IF(IFERROR(VLOOKUP($F89,$P:$P,1,1),0)&gt;=J$2,"o","-")</f>
        <v>-</v>
      </c>
      <c r="K89" s="43" t="str">
        <f>IF(IFERROR(VLOOKUP($F89,$P:$P,1,1),0)&gt;=K$2,"o","-")</f>
        <v>-</v>
      </c>
      <c r="L89" s="43" t="str">
        <f>IF(IFERROR(VLOOKUP($F89,$P:$P,1,1),0)&gt;=L$2,"o","-")</f>
        <v>-</v>
      </c>
      <c r="M89" s="43" t="str">
        <f>IF(IFERROR(VLOOKUP($F89,$P:$P,1,1),0)&gt;=M$2,"o","-")</f>
        <v>-</v>
      </c>
      <c r="N89" s="12">
        <f>IFERROR(VLOOKUP(F89,$P:$R,3,1),0)</f>
        <v>50000</v>
      </c>
    </row>
    <row r="90" spans="2:14">
      <c r="B90" s="9">
        <v>85</v>
      </c>
      <c r="C90" s="10" t="s">
        <v>85</v>
      </c>
      <c r="D90" s="10" t="s">
        <v>273</v>
      </c>
      <c r="E90" s="58">
        <v>32406898</v>
      </c>
      <c r="F90" s="39">
        <v>2</v>
      </c>
      <c r="G90" s="42" t="str">
        <f>IF(IFERROR(VLOOKUP($F90,$P:$P,1,1),0)&gt;=G$2,"o","-")</f>
        <v>o</v>
      </c>
      <c r="H90" s="43" t="str">
        <f>IF(IFERROR(VLOOKUP($F90,$P:$P,1,1),0)&gt;=H$2,"o","-")</f>
        <v>-</v>
      </c>
      <c r="I90" s="43" t="str">
        <f>IF(IFERROR(VLOOKUP($F90,$P:$P,1,1),0)&gt;=I$2,"o","-")</f>
        <v>-</v>
      </c>
      <c r="J90" s="43" t="str">
        <f>IF(IFERROR(VLOOKUP($F90,$P:$P,1,1),0)&gt;=J$2,"o","-")</f>
        <v>-</v>
      </c>
      <c r="K90" s="43" t="str">
        <f>IF(IFERROR(VLOOKUP($F90,$P:$P,1,1),0)&gt;=K$2,"o","-")</f>
        <v>-</v>
      </c>
      <c r="L90" s="43" t="str">
        <f>IF(IFERROR(VLOOKUP($F90,$P:$P,1,1),0)&gt;=L$2,"o","-")</f>
        <v>-</v>
      </c>
      <c r="M90" s="43" t="str">
        <f>IF(IFERROR(VLOOKUP($F90,$P:$P,1,1),0)&gt;=M$2,"o","-")</f>
        <v>-</v>
      </c>
      <c r="N90" s="12">
        <f>IFERROR(VLOOKUP(F90,$P:$R,3,1),0)</f>
        <v>50000</v>
      </c>
    </row>
    <row r="91" spans="2:14">
      <c r="B91" s="9">
        <v>86</v>
      </c>
      <c r="C91" s="10" t="s">
        <v>86</v>
      </c>
      <c r="D91" s="10" t="s">
        <v>274</v>
      </c>
      <c r="E91" s="58">
        <v>32001176</v>
      </c>
      <c r="F91" s="39">
        <v>2</v>
      </c>
      <c r="G91" s="42" t="str">
        <f>IF(IFERROR(VLOOKUP($F91,$P:$P,1,1),0)&gt;=G$2,"o","-")</f>
        <v>o</v>
      </c>
      <c r="H91" s="43" t="str">
        <f>IF(IFERROR(VLOOKUP($F91,$P:$P,1,1),0)&gt;=H$2,"o","-")</f>
        <v>-</v>
      </c>
      <c r="I91" s="43" t="str">
        <f>IF(IFERROR(VLOOKUP($F91,$P:$P,1,1),0)&gt;=I$2,"o","-")</f>
        <v>-</v>
      </c>
      <c r="J91" s="43" t="str">
        <f>IF(IFERROR(VLOOKUP($F91,$P:$P,1,1),0)&gt;=J$2,"o","-")</f>
        <v>-</v>
      </c>
      <c r="K91" s="43" t="str">
        <f>IF(IFERROR(VLOOKUP($F91,$P:$P,1,1),0)&gt;=K$2,"o","-")</f>
        <v>-</v>
      </c>
      <c r="L91" s="43" t="str">
        <f>IF(IFERROR(VLOOKUP($F91,$P:$P,1,1),0)&gt;=L$2,"o","-")</f>
        <v>-</v>
      </c>
      <c r="M91" s="43" t="str">
        <f>IF(IFERROR(VLOOKUP($F91,$P:$P,1,1),0)&gt;=M$2,"o","-")</f>
        <v>-</v>
      </c>
      <c r="N91" s="12">
        <f>IFERROR(VLOOKUP(F91,$P:$R,3,1),0)</f>
        <v>50000</v>
      </c>
    </row>
    <row r="92" spans="2:14">
      <c r="B92" s="9">
        <v>87</v>
      </c>
      <c r="C92" s="10" t="s">
        <v>87</v>
      </c>
      <c r="D92" s="10" t="s">
        <v>275</v>
      </c>
      <c r="E92" s="58">
        <v>31500894</v>
      </c>
      <c r="F92" s="39">
        <v>2</v>
      </c>
      <c r="G92" s="42" t="str">
        <f>IF(IFERROR(VLOOKUP($F92,$P:$P,1,1),0)&gt;=G$2,"o","-")</f>
        <v>o</v>
      </c>
      <c r="H92" s="43" t="str">
        <f>IF(IFERROR(VLOOKUP($F92,$P:$P,1,1),0)&gt;=H$2,"o","-")</f>
        <v>-</v>
      </c>
      <c r="I92" s="43" t="str">
        <f>IF(IFERROR(VLOOKUP($F92,$P:$P,1,1),0)&gt;=I$2,"o","-")</f>
        <v>-</v>
      </c>
      <c r="J92" s="43" t="str">
        <f>IF(IFERROR(VLOOKUP($F92,$P:$P,1,1),0)&gt;=J$2,"o","-")</f>
        <v>-</v>
      </c>
      <c r="K92" s="43" t="str">
        <f>IF(IFERROR(VLOOKUP($F92,$P:$P,1,1),0)&gt;=K$2,"o","-")</f>
        <v>-</v>
      </c>
      <c r="L92" s="43" t="str">
        <f>IF(IFERROR(VLOOKUP($F92,$P:$P,1,1),0)&gt;=L$2,"o","-")</f>
        <v>-</v>
      </c>
      <c r="M92" s="43" t="str">
        <f>IF(IFERROR(VLOOKUP($F92,$P:$P,1,1),0)&gt;=M$2,"o","-")</f>
        <v>-</v>
      </c>
      <c r="N92" s="12">
        <f>IFERROR(VLOOKUP(F92,$P:$R,3,1),0)</f>
        <v>50000</v>
      </c>
    </row>
    <row r="93" spans="2:14">
      <c r="B93" s="9">
        <v>88</v>
      </c>
      <c r="C93" s="10" t="s">
        <v>88</v>
      </c>
      <c r="D93" s="10" t="s">
        <v>276</v>
      </c>
      <c r="E93" s="58">
        <v>31902708</v>
      </c>
      <c r="F93" s="39">
        <v>2</v>
      </c>
      <c r="G93" s="42" t="str">
        <f>IF(IFERROR(VLOOKUP($F93,$P:$P,1,1),0)&gt;=G$2,"o","-")</f>
        <v>o</v>
      </c>
      <c r="H93" s="43" t="str">
        <f>IF(IFERROR(VLOOKUP($F93,$P:$P,1,1),0)&gt;=H$2,"o","-")</f>
        <v>-</v>
      </c>
      <c r="I93" s="43" t="str">
        <f>IF(IFERROR(VLOOKUP($F93,$P:$P,1,1),0)&gt;=I$2,"o","-")</f>
        <v>-</v>
      </c>
      <c r="J93" s="43" t="str">
        <f>IF(IFERROR(VLOOKUP($F93,$P:$P,1,1),0)&gt;=J$2,"o","-")</f>
        <v>-</v>
      </c>
      <c r="K93" s="43" t="str">
        <f>IF(IFERROR(VLOOKUP($F93,$P:$P,1,1),0)&gt;=K$2,"o","-")</f>
        <v>-</v>
      </c>
      <c r="L93" s="43" t="str">
        <f>IF(IFERROR(VLOOKUP($F93,$P:$P,1,1),0)&gt;=L$2,"o","-")</f>
        <v>-</v>
      </c>
      <c r="M93" s="43" t="str">
        <f>IF(IFERROR(VLOOKUP($F93,$P:$P,1,1),0)&gt;=M$2,"o","-")</f>
        <v>-</v>
      </c>
      <c r="N93" s="12">
        <f>IFERROR(VLOOKUP(F93,$P:$R,3,1),0)</f>
        <v>50000</v>
      </c>
    </row>
    <row r="94" spans="2:14">
      <c r="B94" s="9">
        <v>89</v>
      </c>
      <c r="C94" s="10" t="s">
        <v>89</v>
      </c>
      <c r="D94" s="10" t="s">
        <v>277</v>
      </c>
      <c r="E94" s="58">
        <v>41900682</v>
      </c>
      <c r="F94" s="39">
        <v>2</v>
      </c>
      <c r="G94" s="42" t="str">
        <f>IF(IFERROR(VLOOKUP($F94,$P:$P,1,1),0)&gt;=G$2,"o","-")</f>
        <v>o</v>
      </c>
      <c r="H94" s="43" t="str">
        <f>IF(IFERROR(VLOOKUP($F94,$P:$P,1,1),0)&gt;=H$2,"o","-")</f>
        <v>-</v>
      </c>
      <c r="I94" s="43" t="str">
        <f>IF(IFERROR(VLOOKUP($F94,$P:$P,1,1),0)&gt;=I$2,"o","-")</f>
        <v>-</v>
      </c>
      <c r="J94" s="43" t="str">
        <f>IF(IFERROR(VLOOKUP($F94,$P:$P,1,1),0)&gt;=J$2,"o","-")</f>
        <v>-</v>
      </c>
      <c r="K94" s="43" t="str">
        <f>IF(IFERROR(VLOOKUP($F94,$P:$P,1,1),0)&gt;=K$2,"o","-")</f>
        <v>-</v>
      </c>
      <c r="L94" s="43" t="str">
        <f>IF(IFERROR(VLOOKUP($F94,$P:$P,1,1),0)&gt;=L$2,"o","-")</f>
        <v>-</v>
      </c>
      <c r="M94" s="43" t="str">
        <f>IF(IFERROR(VLOOKUP($F94,$P:$P,1,1),0)&gt;=M$2,"o","-")</f>
        <v>-</v>
      </c>
      <c r="N94" s="12">
        <f>IFERROR(VLOOKUP(F94,$P:$R,3,1),0)</f>
        <v>50000</v>
      </c>
    </row>
    <row r="95" spans="2:14">
      <c r="B95" s="9">
        <v>90</v>
      </c>
      <c r="C95" s="10" t="s">
        <v>90</v>
      </c>
      <c r="D95" s="10" t="s">
        <v>278</v>
      </c>
      <c r="E95" s="58">
        <v>41900727</v>
      </c>
      <c r="F95" s="39">
        <v>2</v>
      </c>
      <c r="G95" s="42" t="str">
        <f>IF(IFERROR(VLOOKUP($F95,$P:$P,1,1),0)&gt;=G$2,"o","-")</f>
        <v>o</v>
      </c>
      <c r="H95" s="43" t="str">
        <f>IF(IFERROR(VLOOKUP($F95,$P:$P,1,1),0)&gt;=H$2,"o","-")</f>
        <v>-</v>
      </c>
      <c r="I95" s="43" t="str">
        <f>IF(IFERROR(VLOOKUP($F95,$P:$P,1,1),0)&gt;=I$2,"o","-")</f>
        <v>-</v>
      </c>
      <c r="J95" s="43" t="str">
        <f>IF(IFERROR(VLOOKUP($F95,$P:$P,1,1),0)&gt;=J$2,"o","-")</f>
        <v>-</v>
      </c>
      <c r="K95" s="43" t="str">
        <f>IF(IFERROR(VLOOKUP($F95,$P:$P,1,1),0)&gt;=K$2,"o","-")</f>
        <v>-</v>
      </c>
      <c r="L95" s="43" t="str">
        <f>IF(IFERROR(VLOOKUP($F95,$P:$P,1,1),0)&gt;=L$2,"o","-")</f>
        <v>-</v>
      </c>
      <c r="M95" s="43" t="str">
        <f>IF(IFERROR(VLOOKUP($F95,$P:$P,1,1),0)&gt;=M$2,"o","-")</f>
        <v>-</v>
      </c>
      <c r="N95" s="12">
        <f>IFERROR(VLOOKUP(F95,$P:$R,3,1),0)</f>
        <v>50000</v>
      </c>
    </row>
    <row r="96" spans="2:14">
      <c r="B96" s="9">
        <v>91</v>
      </c>
      <c r="C96" s="10" t="s">
        <v>91</v>
      </c>
      <c r="D96" s="10" t="s">
        <v>279</v>
      </c>
      <c r="E96" s="58">
        <v>32407077</v>
      </c>
      <c r="F96" s="39">
        <v>2</v>
      </c>
      <c r="G96" s="42" t="str">
        <f>IF(IFERROR(VLOOKUP($F96,$P:$P,1,1),0)&gt;=G$2,"o","-")</f>
        <v>o</v>
      </c>
      <c r="H96" s="43" t="str">
        <f>IF(IFERROR(VLOOKUP($F96,$P:$P,1,1),0)&gt;=H$2,"o","-")</f>
        <v>-</v>
      </c>
      <c r="I96" s="43" t="str">
        <f>IF(IFERROR(VLOOKUP($F96,$P:$P,1,1),0)&gt;=I$2,"o","-")</f>
        <v>-</v>
      </c>
      <c r="J96" s="43" t="str">
        <f>IF(IFERROR(VLOOKUP($F96,$P:$P,1,1),0)&gt;=J$2,"o","-")</f>
        <v>-</v>
      </c>
      <c r="K96" s="43" t="str">
        <f>IF(IFERROR(VLOOKUP($F96,$P:$P,1,1),0)&gt;=K$2,"o","-")</f>
        <v>-</v>
      </c>
      <c r="L96" s="43" t="str">
        <f>IF(IFERROR(VLOOKUP($F96,$P:$P,1,1),0)&gt;=L$2,"o","-")</f>
        <v>-</v>
      </c>
      <c r="M96" s="43" t="str">
        <f>IF(IFERROR(VLOOKUP($F96,$P:$P,1,1),0)&gt;=M$2,"o","-")</f>
        <v>-</v>
      </c>
      <c r="N96" s="12">
        <f>IFERROR(VLOOKUP(F96,$P:$R,3,1),0)</f>
        <v>50000</v>
      </c>
    </row>
    <row r="97" spans="2:14">
      <c r="B97" s="9">
        <v>92</v>
      </c>
      <c r="C97" s="10" t="s">
        <v>38</v>
      </c>
      <c r="D97" s="10" t="s">
        <v>280</v>
      </c>
      <c r="E97" s="58">
        <v>40734372</v>
      </c>
      <c r="F97" s="39">
        <v>2</v>
      </c>
      <c r="G97" s="42" t="str">
        <f>IF(IFERROR(VLOOKUP($F97,$P:$P,1,1),0)&gt;=G$2,"o","-")</f>
        <v>o</v>
      </c>
      <c r="H97" s="43" t="str">
        <f>IF(IFERROR(VLOOKUP($F97,$P:$P,1,1),0)&gt;=H$2,"o","-")</f>
        <v>-</v>
      </c>
      <c r="I97" s="43" t="str">
        <f>IF(IFERROR(VLOOKUP($F97,$P:$P,1,1),0)&gt;=I$2,"o","-")</f>
        <v>-</v>
      </c>
      <c r="J97" s="43" t="str">
        <f>IF(IFERROR(VLOOKUP($F97,$P:$P,1,1),0)&gt;=J$2,"o","-")</f>
        <v>-</v>
      </c>
      <c r="K97" s="43" t="str">
        <f>IF(IFERROR(VLOOKUP($F97,$P:$P,1,1),0)&gt;=K$2,"o","-")</f>
        <v>-</v>
      </c>
      <c r="L97" s="43" t="str">
        <f>IF(IFERROR(VLOOKUP($F97,$P:$P,1,1),0)&gt;=L$2,"o","-")</f>
        <v>-</v>
      </c>
      <c r="M97" s="43" t="str">
        <f>IF(IFERROR(VLOOKUP($F97,$P:$P,1,1),0)&gt;=M$2,"o","-")</f>
        <v>-</v>
      </c>
      <c r="N97" s="12">
        <f>IFERROR(VLOOKUP(F97,$P:$R,3,1),0)</f>
        <v>50000</v>
      </c>
    </row>
    <row r="98" spans="2:14">
      <c r="B98" s="9">
        <v>93</v>
      </c>
      <c r="C98" s="10" t="s">
        <v>92</v>
      </c>
      <c r="D98" s="10" t="s">
        <v>281</v>
      </c>
      <c r="E98" s="58">
        <v>41302587</v>
      </c>
      <c r="F98" s="39">
        <v>2</v>
      </c>
      <c r="G98" s="42" t="str">
        <f>IF(IFERROR(VLOOKUP($F98,$P:$P,1,1),0)&gt;=G$2,"o","-")</f>
        <v>o</v>
      </c>
      <c r="H98" s="43" t="str">
        <f>IF(IFERROR(VLOOKUP($F98,$P:$P,1,1),0)&gt;=H$2,"o","-")</f>
        <v>-</v>
      </c>
      <c r="I98" s="43" t="str">
        <f>IF(IFERROR(VLOOKUP($F98,$P:$P,1,1),0)&gt;=I$2,"o","-")</f>
        <v>-</v>
      </c>
      <c r="J98" s="43" t="str">
        <f>IF(IFERROR(VLOOKUP($F98,$P:$P,1,1),0)&gt;=J$2,"o","-")</f>
        <v>-</v>
      </c>
      <c r="K98" s="43" t="str">
        <f>IF(IFERROR(VLOOKUP($F98,$P:$P,1,1),0)&gt;=K$2,"o","-")</f>
        <v>-</v>
      </c>
      <c r="L98" s="43" t="str">
        <f>IF(IFERROR(VLOOKUP($F98,$P:$P,1,1),0)&gt;=L$2,"o","-")</f>
        <v>-</v>
      </c>
      <c r="M98" s="43" t="str">
        <f>IF(IFERROR(VLOOKUP($F98,$P:$P,1,1),0)&gt;=M$2,"o","-")</f>
        <v>-</v>
      </c>
      <c r="N98" s="12">
        <f>IFERROR(VLOOKUP(F98,$P:$R,3,1),0)</f>
        <v>50000</v>
      </c>
    </row>
    <row r="99" spans="2:14">
      <c r="B99" s="9">
        <v>94</v>
      </c>
      <c r="C99" s="10" t="s">
        <v>93</v>
      </c>
      <c r="D99" s="10" t="s">
        <v>282</v>
      </c>
      <c r="E99" s="58">
        <v>41300534</v>
      </c>
      <c r="F99" s="39">
        <v>2</v>
      </c>
      <c r="G99" s="42" t="str">
        <f>IF(IFERROR(VLOOKUP($F99,$P:$P,1,1),0)&gt;=G$2,"o","-")</f>
        <v>o</v>
      </c>
      <c r="H99" s="43" t="str">
        <f>IF(IFERROR(VLOOKUP($F99,$P:$P,1,1),0)&gt;=H$2,"o","-")</f>
        <v>-</v>
      </c>
      <c r="I99" s="43" t="str">
        <f>IF(IFERROR(VLOOKUP($F99,$P:$P,1,1),0)&gt;=I$2,"o","-")</f>
        <v>-</v>
      </c>
      <c r="J99" s="43" t="str">
        <f>IF(IFERROR(VLOOKUP($F99,$P:$P,1,1),0)&gt;=J$2,"o","-")</f>
        <v>-</v>
      </c>
      <c r="K99" s="43" t="str">
        <f>IF(IFERROR(VLOOKUP($F99,$P:$P,1,1),0)&gt;=K$2,"o","-")</f>
        <v>-</v>
      </c>
      <c r="L99" s="43" t="str">
        <f>IF(IFERROR(VLOOKUP($F99,$P:$P,1,1),0)&gt;=L$2,"o","-")</f>
        <v>-</v>
      </c>
      <c r="M99" s="43" t="str">
        <f>IF(IFERROR(VLOOKUP($F99,$P:$P,1,1),0)&gt;=M$2,"o","-")</f>
        <v>-</v>
      </c>
      <c r="N99" s="12">
        <f>IFERROR(VLOOKUP(F99,$P:$R,3,1),0)</f>
        <v>50000</v>
      </c>
    </row>
    <row r="100" spans="2:14">
      <c r="B100" s="9">
        <v>95</v>
      </c>
      <c r="C100" s="10" t="s">
        <v>94</v>
      </c>
      <c r="D100" s="10" t="s">
        <v>283</v>
      </c>
      <c r="E100" s="58">
        <v>41100509</v>
      </c>
      <c r="F100" s="39">
        <v>2</v>
      </c>
      <c r="G100" s="42" t="str">
        <f>IF(IFERROR(VLOOKUP($F100,$P:$P,1,1),0)&gt;=G$2,"o","-")</f>
        <v>o</v>
      </c>
      <c r="H100" s="43" t="str">
        <f>IF(IFERROR(VLOOKUP($F100,$P:$P,1,1),0)&gt;=H$2,"o","-")</f>
        <v>-</v>
      </c>
      <c r="I100" s="43" t="str">
        <f>IF(IFERROR(VLOOKUP($F100,$P:$P,1,1),0)&gt;=I$2,"o","-")</f>
        <v>-</v>
      </c>
      <c r="J100" s="43" t="str">
        <f>IF(IFERROR(VLOOKUP($F100,$P:$P,1,1),0)&gt;=J$2,"o","-")</f>
        <v>-</v>
      </c>
      <c r="K100" s="43" t="str">
        <f>IF(IFERROR(VLOOKUP($F100,$P:$P,1,1),0)&gt;=K$2,"o","-")</f>
        <v>-</v>
      </c>
      <c r="L100" s="43" t="str">
        <f>IF(IFERROR(VLOOKUP($F100,$P:$P,1,1),0)&gt;=L$2,"o","-")</f>
        <v>-</v>
      </c>
      <c r="M100" s="43" t="str">
        <f>IF(IFERROR(VLOOKUP($F100,$P:$P,1,1),0)&gt;=M$2,"o","-")</f>
        <v>-</v>
      </c>
      <c r="N100" s="12">
        <f>IFERROR(VLOOKUP(F100,$P:$R,3,1),0)</f>
        <v>50000</v>
      </c>
    </row>
    <row r="101" spans="2:14">
      <c r="B101" s="9">
        <v>96</v>
      </c>
      <c r="C101" s="10" t="s">
        <v>95</v>
      </c>
      <c r="D101" s="10" t="s">
        <v>284</v>
      </c>
      <c r="E101" s="58">
        <v>42002066</v>
      </c>
      <c r="F101" s="39">
        <v>2</v>
      </c>
      <c r="G101" s="42" t="str">
        <f>IF(IFERROR(VLOOKUP($F101,$P:$P,1,1),0)&gt;=G$2,"o","-")</f>
        <v>o</v>
      </c>
      <c r="H101" s="43" t="str">
        <f>IF(IFERROR(VLOOKUP($F101,$P:$P,1,1),0)&gt;=H$2,"o","-")</f>
        <v>-</v>
      </c>
      <c r="I101" s="43" t="str">
        <f>IF(IFERROR(VLOOKUP($F101,$P:$P,1,1),0)&gt;=I$2,"o","-")</f>
        <v>-</v>
      </c>
      <c r="J101" s="43" t="str">
        <f>IF(IFERROR(VLOOKUP($F101,$P:$P,1,1),0)&gt;=J$2,"o","-")</f>
        <v>-</v>
      </c>
      <c r="K101" s="43" t="str">
        <f>IF(IFERROR(VLOOKUP($F101,$P:$P,1,1),0)&gt;=K$2,"o","-")</f>
        <v>-</v>
      </c>
      <c r="L101" s="43" t="str">
        <f>IF(IFERROR(VLOOKUP($F101,$P:$P,1,1),0)&gt;=L$2,"o","-")</f>
        <v>-</v>
      </c>
      <c r="M101" s="43" t="str">
        <f>IF(IFERROR(VLOOKUP($F101,$P:$P,1,1),0)&gt;=M$2,"o","-")</f>
        <v>-</v>
      </c>
      <c r="N101" s="12">
        <f>IFERROR(VLOOKUP(F101,$P:$R,3,1),0)</f>
        <v>50000</v>
      </c>
    </row>
    <row r="102" spans="2:14">
      <c r="B102" s="9">
        <v>97</v>
      </c>
      <c r="C102" s="10" t="s">
        <v>96</v>
      </c>
      <c r="D102" s="10" t="s">
        <v>285</v>
      </c>
      <c r="E102" s="58">
        <v>32300723</v>
      </c>
      <c r="F102" s="39">
        <v>2</v>
      </c>
      <c r="G102" s="42" t="str">
        <f>IF(IFERROR(VLOOKUP($F102,$P:$P,1,1),0)&gt;=G$2,"o","-")</f>
        <v>o</v>
      </c>
      <c r="H102" s="43" t="str">
        <f>IF(IFERROR(VLOOKUP($F102,$P:$P,1,1),0)&gt;=H$2,"o","-")</f>
        <v>-</v>
      </c>
      <c r="I102" s="43" t="str">
        <f>IF(IFERROR(VLOOKUP($F102,$P:$P,1,1),0)&gt;=I$2,"o","-")</f>
        <v>-</v>
      </c>
      <c r="J102" s="43" t="str">
        <f>IF(IFERROR(VLOOKUP($F102,$P:$P,1,1),0)&gt;=J$2,"o","-")</f>
        <v>-</v>
      </c>
      <c r="K102" s="43" t="str">
        <f>IF(IFERROR(VLOOKUP($F102,$P:$P,1,1),0)&gt;=K$2,"o","-")</f>
        <v>-</v>
      </c>
      <c r="L102" s="43" t="str">
        <f>IF(IFERROR(VLOOKUP($F102,$P:$P,1,1),0)&gt;=L$2,"o","-")</f>
        <v>-</v>
      </c>
      <c r="M102" s="43" t="str">
        <f>IF(IFERROR(VLOOKUP($F102,$P:$P,1,1),0)&gt;=M$2,"o","-")</f>
        <v>-</v>
      </c>
      <c r="N102" s="12">
        <f>IFERROR(VLOOKUP(F102,$P:$R,3,1),0)</f>
        <v>50000</v>
      </c>
    </row>
    <row r="103" spans="2:14">
      <c r="B103" s="9">
        <v>98</v>
      </c>
      <c r="C103" s="10" t="s">
        <v>97</v>
      </c>
      <c r="D103" s="10" t="s">
        <v>286</v>
      </c>
      <c r="E103" s="58">
        <v>41307654</v>
      </c>
      <c r="F103" s="39">
        <v>2</v>
      </c>
      <c r="G103" s="42" t="str">
        <f>IF(IFERROR(VLOOKUP($F103,$P:$P,1,1),0)&gt;=G$2,"o","-")</f>
        <v>o</v>
      </c>
      <c r="H103" s="43" t="str">
        <f>IF(IFERROR(VLOOKUP($F103,$P:$P,1,1),0)&gt;=H$2,"o","-")</f>
        <v>-</v>
      </c>
      <c r="I103" s="43" t="str">
        <f>IF(IFERROR(VLOOKUP($F103,$P:$P,1,1),0)&gt;=I$2,"o","-")</f>
        <v>-</v>
      </c>
      <c r="J103" s="43" t="str">
        <f>IF(IFERROR(VLOOKUP($F103,$P:$P,1,1),0)&gt;=J$2,"o","-")</f>
        <v>-</v>
      </c>
      <c r="K103" s="43" t="str">
        <f>IF(IFERROR(VLOOKUP($F103,$P:$P,1,1),0)&gt;=K$2,"o","-")</f>
        <v>-</v>
      </c>
      <c r="L103" s="43" t="str">
        <f>IF(IFERROR(VLOOKUP($F103,$P:$P,1,1),0)&gt;=L$2,"o","-")</f>
        <v>-</v>
      </c>
      <c r="M103" s="43" t="str">
        <f>IF(IFERROR(VLOOKUP($F103,$P:$P,1,1),0)&gt;=M$2,"o","-")</f>
        <v>-</v>
      </c>
      <c r="N103" s="12">
        <f>IFERROR(VLOOKUP(F103,$P:$R,3,1),0)</f>
        <v>50000</v>
      </c>
    </row>
    <row r="104" spans="2:14">
      <c r="B104" s="9">
        <v>99</v>
      </c>
      <c r="C104" s="10" t="s">
        <v>98</v>
      </c>
      <c r="D104" s="10" t="s">
        <v>287</v>
      </c>
      <c r="E104" s="58">
        <v>31903158</v>
      </c>
      <c r="F104" s="39">
        <v>2</v>
      </c>
      <c r="G104" s="42" t="str">
        <f>IF(IFERROR(VLOOKUP($F104,$P:$P,1,1),0)&gt;=G$2,"o","-")</f>
        <v>o</v>
      </c>
      <c r="H104" s="43" t="str">
        <f>IF(IFERROR(VLOOKUP($F104,$P:$P,1,1),0)&gt;=H$2,"o","-")</f>
        <v>-</v>
      </c>
      <c r="I104" s="43" t="str">
        <f>IF(IFERROR(VLOOKUP($F104,$P:$P,1,1),0)&gt;=I$2,"o","-")</f>
        <v>-</v>
      </c>
      <c r="J104" s="43" t="str">
        <f>IF(IFERROR(VLOOKUP($F104,$P:$P,1,1),0)&gt;=J$2,"o","-")</f>
        <v>-</v>
      </c>
      <c r="K104" s="43" t="str">
        <f>IF(IFERROR(VLOOKUP($F104,$P:$P,1,1),0)&gt;=K$2,"o","-")</f>
        <v>-</v>
      </c>
      <c r="L104" s="43" t="str">
        <f>IF(IFERROR(VLOOKUP($F104,$P:$P,1,1),0)&gt;=L$2,"o","-")</f>
        <v>-</v>
      </c>
      <c r="M104" s="43" t="str">
        <f>IF(IFERROR(VLOOKUP($F104,$P:$P,1,1),0)&gt;=M$2,"o","-")</f>
        <v>-</v>
      </c>
      <c r="N104" s="12">
        <f>IFERROR(VLOOKUP(F104,$P:$R,3,1),0)</f>
        <v>50000</v>
      </c>
    </row>
    <row r="105" spans="2:14">
      <c r="B105" s="9">
        <v>100</v>
      </c>
      <c r="C105" s="10" t="s">
        <v>99</v>
      </c>
      <c r="D105" s="10" t="s">
        <v>288</v>
      </c>
      <c r="E105" s="58">
        <v>32303216</v>
      </c>
      <c r="F105" s="39">
        <v>2</v>
      </c>
      <c r="G105" s="42" t="str">
        <f>IF(IFERROR(VLOOKUP($F105,$P:$P,1,1),0)&gt;=G$2,"o","-")</f>
        <v>o</v>
      </c>
      <c r="H105" s="43" t="str">
        <f>IF(IFERROR(VLOOKUP($F105,$P:$P,1,1),0)&gt;=H$2,"o","-")</f>
        <v>-</v>
      </c>
      <c r="I105" s="43" t="str">
        <f>IF(IFERROR(VLOOKUP($F105,$P:$P,1,1),0)&gt;=I$2,"o","-")</f>
        <v>-</v>
      </c>
      <c r="J105" s="43" t="str">
        <f>IF(IFERROR(VLOOKUP($F105,$P:$P,1,1),0)&gt;=J$2,"o","-")</f>
        <v>-</v>
      </c>
      <c r="K105" s="43" t="str">
        <f>IF(IFERROR(VLOOKUP($F105,$P:$P,1,1),0)&gt;=K$2,"o","-")</f>
        <v>-</v>
      </c>
      <c r="L105" s="43" t="str">
        <f>IF(IFERROR(VLOOKUP($F105,$P:$P,1,1),0)&gt;=L$2,"o","-")</f>
        <v>-</v>
      </c>
      <c r="M105" s="43" t="str">
        <f>IF(IFERROR(VLOOKUP($F105,$P:$P,1,1),0)&gt;=M$2,"o","-")</f>
        <v>-</v>
      </c>
      <c r="N105" s="12">
        <f>IFERROR(VLOOKUP(F105,$P:$R,3,1),0)</f>
        <v>50000</v>
      </c>
    </row>
    <row r="106" spans="2:14">
      <c r="B106" s="9">
        <v>101</v>
      </c>
      <c r="C106" s="10" t="s">
        <v>100</v>
      </c>
      <c r="D106" s="10" t="s">
        <v>289</v>
      </c>
      <c r="E106" s="58">
        <v>42402521</v>
      </c>
      <c r="F106" s="39">
        <v>2</v>
      </c>
      <c r="G106" s="42" t="str">
        <f>IF(IFERROR(VLOOKUP($F106,$P:$P,1,1),0)&gt;=G$2,"o","-")</f>
        <v>o</v>
      </c>
      <c r="H106" s="43" t="str">
        <f>IF(IFERROR(VLOOKUP($F106,$P:$P,1,1),0)&gt;=H$2,"o","-")</f>
        <v>-</v>
      </c>
      <c r="I106" s="43" t="str">
        <f>IF(IFERROR(VLOOKUP($F106,$P:$P,1,1),0)&gt;=I$2,"o","-")</f>
        <v>-</v>
      </c>
      <c r="J106" s="43" t="str">
        <f>IF(IFERROR(VLOOKUP($F106,$P:$P,1,1),0)&gt;=J$2,"o","-")</f>
        <v>-</v>
      </c>
      <c r="K106" s="43" t="str">
        <f>IF(IFERROR(VLOOKUP($F106,$P:$P,1,1),0)&gt;=K$2,"o","-")</f>
        <v>-</v>
      </c>
      <c r="L106" s="43" t="str">
        <f>IF(IFERROR(VLOOKUP($F106,$P:$P,1,1),0)&gt;=L$2,"o","-")</f>
        <v>-</v>
      </c>
      <c r="M106" s="43" t="str">
        <f>IF(IFERROR(VLOOKUP($F106,$P:$P,1,1),0)&gt;=M$2,"o","-")</f>
        <v>-</v>
      </c>
      <c r="N106" s="12">
        <f>IFERROR(VLOOKUP(F106,$P:$R,3,1),0)</f>
        <v>50000</v>
      </c>
    </row>
    <row r="107" spans="2:14">
      <c r="B107" s="9">
        <v>102</v>
      </c>
      <c r="C107" s="10" t="s">
        <v>101</v>
      </c>
      <c r="D107" s="10" t="s">
        <v>290</v>
      </c>
      <c r="E107" s="58">
        <v>41304819</v>
      </c>
      <c r="F107" s="39">
        <v>2</v>
      </c>
      <c r="G107" s="42" t="str">
        <f>IF(IFERROR(VLOOKUP($F107,$P:$P,1,1),0)&gt;=G$2,"o","-")</f>
        <v>o</v>
      </c>
      <c r="H107" s="43" t="str">
        <f>IF(IFERROR(VLOOKUP($F107,$P:$P,1,1),0)&gt;=H$2,"o","-")</f>
        <v>-</v>
      </c>
      <c r="I107" s="43" t="str">
        <f>IF(IFERROR(VLOOKUP($F107,$P:$P,1,1),0)&gt;=I$2,"o","-")</f>
        <v>-</v>
      </c>
      <c r="J107" s="43" t="str">
        <f>IF(IFERROR(VLOOKUP($F107,$P:$P,1,1),0)&gt;=J$2,"o","-")</f>
        <v>-</v>
      </c>
      <c r="K107" s="43" t="str">
        <f>IF(IFERROR(VLOOKUP($F107,$P:$P,1,1),0)&gt;=K$2,"o","-")</f>
        <v>-</v>
      </c>
      <c r="L107" s="43" t="str">
        <f>IF(IFERROR(VLOOKUP($F107,$P:$P,1,1),0)&gt;=L$2,"o","-")</f>
        <v>-</v>
      </c>
      <c r="M107" s="43" t="str">
        <f>IF(IFERROR(VLOOKUP($F107,$P:$P,1,1),0)&gt;=M$2,"o","-")</f>
        <v>-</v>
      </c>
      <c r="N107" s="12">
        <f>IFERROR(VLOOKUP(F107,$P:$R,3,1),0)</f>
        <v>50000</v>
      </c>
    </row>
    <row r="108" spans="2:14">
      <c r="B108" s="9">
        <v>103</v>
      </c>
      <c r="C108" s="10" t="s">
        <v>102</v>
      </c>
      <c r="D108" s="10" t="s">
        <v>291</v>
      </c>
      <c r="E108" s="58">
        <v>29812107</v>
      </c>
      <c r="F108" s="39">
        <v>2</v>
      </c>
      <c r="G108" s="42" t="str">
        <f>IF(IFERROR(VLOOKUP($F108,$P:$P,1,1),0)&gt;=G$2,"o","-")</f>
        <v>o</v>
      </c>
      <c r="H108" s="43" t="str">
        <f>IF(IFERROR(VLOOKUP($F108,$P:$P,1,1),0)&gt;=H$2,"o","-")</f>
        <v>-</v>
      </c>
      <c r="I108" s="43" t="str">
        <f>IF(IFERROR(VLOOKUP($F108,$P:$P,1,1),0)&gt;=I$2,"o","-")</f>
        <v>-</v>
      </c>
      <c r="J108" s="43" t="str">
        <f>IF(IFERROR(VLOOKUP($F108,$P:$P,1,1),0)&gt;=J$2,"o","-")</f>
        <v>-</v>
      </c>
      <c r="K108" s="43" t="str">
        <f>IF(IFERROR(VLOOKUP($F108,$P:$P,1,1),0)&gt;=K$2,"o","-")</f>
        <v>-</v>
      </c>
      <c r="L108" s="43" t="str">
        <f>IF(IFERROR(VLOOKUP($F108,$P:$P,1,1),0)&gt;=L$2,"o","-")</f>
        <v>-</v>
      </c>
      <c r="M108" s="43" t="str">
        <f>IF(IFERROR(VLOOKUP($F108,$P:$P,1,1),0)&gt;=M$2,"o","-")</f>
        <v>-</v>
      </c>
      <c r="N108" s="12">
        <f>IFERROR(VLOOKUP(F108,$P:$R,3,1),0)</f>
        <v>50000</v>
      </c>
    </row>
    <row r="109" spans="2:14">
      <c r="B109" s="9">
        <v>104</v>
      </c>
      <c r="C109" s="10" t="s">
        <v>103</v>
      </c>
      <c r="D109" s="10" t="s">
        <v>292</v>
      </c>
      <c r="E109" s="58">
        <v>42600099</v>
      </c>
      <c r="F109" s="39">
        <v>2</v>
      </c>
      <c r="G109" s="42" t="str">
        <f>IF(IFERROR(VLOOKUP($F109,$P:$P,1,1),0)&gt;=G$2,"o","-")</f>
        <v>o</v>
      </c>
      <c r="H109" s="43" t="str">
        <f>IF(IFERROR(VLOOKUP($F109,$P:$P,1,1),0)&gt;=H$2,"o","-")</f>
        <v>-</v>
      </c>
      <c r="I109" s="43" t="str">
        <f>IF(IFERROR(VLOOKUP($F109,$P:$P,1,1),0)&gt;=I$2,"o","-")</f>
        <v>-</v>
      </c>
      <c r="J109" s="43" t="str">
        <f>IF(IFERROR(VLOOKUP($F109,$P:$P,1,1),0)&gt;=J$2,"o","-")</f>
        <v>-</v>
      </c>
      <c r="K109" s="43" t="str">
        <f>IF(IFERROR(VLOOKUP($F109,$P:$P,1,1),0)&gt;=K$2,"o","-")</f>
        <v>-</v>
      </c>
      <c r="L109" s="43" t="str">
        <f>IF(IFERROR(VLOOKUP($F109,$P:$P,1,1),0)&gt;=L$2,"o","-")</f>
        <v>-</v>
      </c>
      <c r="M109" s="43" t="str">
        <f>IF(IFERROR(VLOOKUP($F109,$P:$P,1,1),0)&gt;=M$2,"o","-")</f>
        <v>-</v>
      </c>
      <c r="N109" s="12">
        <f>IFERROR(VLOOKUP(F109,$P:$R,3,1),0)</f>
        <v>50000</v>
      </c>
    </row>
    <row r="110" spans="2:14">
      <c r="B110" s="9">
        <v>105</v>
      </c>
      <c r="C110" s="10" t="s">
        <v>104</v>
      </c>
      <c r="D110" s="10" t="s">
        <v>293</v>
      </c>
      <c r="E110" s="58">
        <v>31900395</v>
      </c>
      <c r="F110" s="39">
        <v>2</v>
      </c>
      <c r="G110" s="42" t="str">
        <f>IF(IFERROR(VLOOKUP($F110,$P:$P,1,1),0)&gt;=G$2,"o","-")</f>
        <v>o</v>
      </c>
      <c r="H110" s="43" t="str">
        <f>IF(IFERROR(VLOOKUP($F110,$P:$P,1,1),0)&gt;=H$2,"o","-")</f>
        <v>-</v>
      </c>
      <c r="I110" s="43" t="str">
        <f>IF(IFERROR(VLOOKUP($F110,$P:$P,1,1),0)&gt;=I$2,"o","-")</f>
        <v>-</v>
      </c>
      <c r="J110" s="43" t="str">
        <f>IF(IFERROR(VLOOKUP($F110,$P:$P,1,1),0)&gt;=J$2,"o","-")</f>
        <v>-</v>
      </c>
      <c r="K110" s="43" t="str">
        <f>IF(IFERROR(VLOOKUP($F110,$P:$P,1,1),0)&gt;=K$2,"o","-")</f>
        <v>-</v>
      </c>
      <c r="L110" s="43" t="str">
        <f>IF(IFERROR(VLOOKUP($F110,$P:$P,1,1),0)&gt;=L$2,"o","-")</f>
        <v>-</v>
      </c>
      <c r="M110" s="43" t="str">
        <f>IF(IFERROR(VLOOKUP($F110,$P:$P,1,1),0)&gt;=M$2,"o","-")</f>
        <v>-</v>
      </c>
      <c r="N110" s="12">
        <f>IFERROR(VLOOKUP(F110,$P:$R,3,1),0)</f>
        <v>50000</v>
      </c>
    </row>
    <row r="111" spans="2:14">
      <c r="B111" s="9">
        <v>106</v>
      </c>
      <c r="C111" s="10" t="s">
        <v>105</v>
      </c>
      <c r="D111" s="10" t="s">
        <v>294</v>
      </c>
      <c r="E111" s="58">
        <v>31001005</v>
      </c>
      <c r="F111" s="39">
        <v>2</v>
      </c>
      <c r="G111" s="42" t="str">
        <f>IF(IFERROR(VLOOKUP($F111,$P:$P,1,1),0)&gt;=G$2,"o","-")</f>
        <v>o</v>
      </c>
      <c r="H111" s="43" t="str">
        <f>IF(IFERROR(VLOOKUP($F111,$P:$P,1,1),0)&gt;=H$2,"o","-")</f>
        <v>-</v>
      </c>
      <c r="I111" s="43" t="str">
        <f>IF(IFERROR(VLOOKUP($F111,$P:$P,1,1),0)&gt;=I$2,"o","-")</f>
        <v>-</v>
      </c>
      <c r="J111" s="43" t="str">
        <f>IF(IFERROR(VLOOKUP($F111,$P:$P,1,1),0)&gt;=J$2,"o","-")</f>
        <v>-</v>
      </c>
      <c r="K111" s="43" t="str">
        <f>IF(IFERROR(VLOOKUP($F111,$P:$P,1,1),0)&gt;=K$2,"o","-")</f>
        <v>-</v>
      </c>
      <c r="L111" s="43" t="str">
        <f>IF(IFERROR(VLOOKUP($F111,$P:$P,1,1),0)&gt;=L$2,"o","-")</f>
        <v>-</v>
      </c>
      <c r="M111" s="43" t="str">
        <f>IF(IFERROR(VLOOKUP($F111,$P:$P,1,1),0)&gt;=M$2,"o","-")</f>
        <v>-</v>
      </c>
      <c r="N111" s="12">
        <f>IFERROR(VLOOKUP(F111,$P:$R,3,1),0)</f>
        <v>50000</v>
      </c>
    </row>
    <row r="112" spans="2:14">
      <c r="B112" s="9">
        <v>107</v>
      </c>
      <c r="C112" s="10" t="s">
        <v>106</v>
      </c>
      <c r="D112" s="10" t="s">
        <v>295</v>
      </c>
      <c r="E112" s="58">
        <v>31501640</v>
      </c>
      <c r="F112" s="39">
        <v>2</v>
      </c>
      <c r="G112" s="42" t="str">
        <f>IF(IFERROR(VLOOKUP($F112,$P:$P,1,1),0)&gt;=G$2,"o","-")</f>
        <v>o</v>
      </c>
      <c r="H112" s="43" t="str">
        <f>IF(IFERROR(VLOOKUP($F112,$P:$P,1,1),0)&gt;=H$2,"o","-")</f>
        <v>-</v>
      </c>
      <c r="I112" s="43" t="str">
        <f>IF(IFERROR(VLOOKUP($F112,$P:$P,1,1),0)&gt;=I$2,"o","-")</f>
        <v>-</v>
      </c>
      <c r="J112" s="43" t="str">
        <f>IF(IFERROR(VLOOKUP($F112,$P:$P,1,1),0)&gt;=J$2,"o","-")</f>
        <v>-</v>
      </c>
      <c r="K112" s="43" t="str">
        <f>IF(IFERROR(VLOOKUP($F112,$P:$P,1,1),0)&gt;=K$2,"o","-")</f>
        <v>-</v>
      </c>
      <c r="L112" s="43" t="str">
        <f>IF(IFERROR(VLOOKUP($F112,$P:$P,1,1),0)&gt;=L$2,"o","-")</f>
        <v>-</v>
      </c>
      <c r="M112" s="43" t="str">
        <f>IF(IFERROR(VLOOKUP($F112,$P:$P,1,1),0)&gt;=M$2,"o","-")</f>
        <v>-</v>
      </c>
      <c r="N112" s="12">
        <f>IFERROR(VLOOKUP(F112,$P:$R,3,1),0)</f>
        <v>50000</v>
      </c>
    </row>
    <row r="113" spans="2:14">
      <c r="B113" s="9">
        <v>108</v>
      </c>
      <c r="C113" s="10" t="s">
        <v>107</v>
      </c>
      <c r="D113" s="10" t="s">
        <v>296</v>
      </c>
      <c r="E113" s="58">
        <v>41900547</v>
      </c>
      <c r="F113" s="39">
        <v>2</v>
      </c>
      <c r="G113" s="42" t="str">
        <f>IF(IFERROR(VLOOKUP($F113,$P:$P,1,1),0)&gt;=G$2,"o","-")</f>
        <v>o</v>
      </c>
      <c r="H113" s="43" t="str">
        <f>IF(IFERROR(VLOOKUP($F113,$P:$P,1,1),0)&gt;=H$2,"o","-")</f>
        <v>-</v>
      </c>
      <c r="I113" s="43" t="str">
        <f>IF(IFERROR(VLOOKUP($F113,$P:$P,1,1),0)&gt;=I$2,"o","-")</f>
        <v>-</v>
      </c>
      <c r="J113" s="43" t="str">
        <f>IF(IFERROR(VLOOKUP($F113,$P:$P,1,1),0)&gt;=J$2,"o","-")</f>
        <v>-</v>
      </c>
      <c r="K113" s="43" t="str">
        <f>IF(IFERROR(VLOOKUP($F113,$P:$P,1,1),0)&gt;=K$2,"o","-")</f>
        <v>-</v>
      </c>
      <c r="L113" s="43" t="str">
        <f>IF(IFERROR(VLOOKUP($F113,$P:$P,1,1),0)&gt;=L$2,"o","-")</f>
        <v>-</v>
      </c>
      <c r="M113" s="43" t="str">
        <f>IF(IFERROR(VLOOKUP($F113,$P:$P,1,1),0)&gt;=M$2,"o","-")</f>
        <v>-</v>
      </c>
      <c r="N113" s="12">
        <f>IFERROR(VLOOKUP(F113,$P:$R,3,1),0)</f>
        <v>50000</v>
      </c>
    </row>
    <row r="114" spans="2:14">
      <c r="B114" s="9">
        <v>109</v>
      </c>
      <c r="C114" s="10" t="s">
        <v>108</v>
      </c>
      <c r="D114" s="10" t="s">
        <v>297</v>
      </c>
      <c r="E114" s="58">
        <v>31900557</v>
      </c>
      <c r="F114" s="39">
        <v>2</v>
      </c>
      <c r="G114" s="42" t="str">
        <f>IF(IFERROR(VLOOKUP($F114,$P:$P,1,1),0)&gt;=G$2,"o","-")</f>
        <v>o</v>
      </c>
      <c r="H114" s="43" t="str">
        <f>IF(IFERROR(VLOOKUP($F114,$P:$P,1,1),0)&gt;=H$2,"o","-")</f>
        <v>-</v>
      </c>
      <c r="I114" s="43" t="str">
        <f>IF(IFERROR(VLOOKUP($F114,$P:$P,1,1),0)&gt;=I$2,"o","-")</f>
        <v>-</v>
      </c>
      <c r="J114" s="43" t="str">
        <f>IF(IFERROR(VLOOKUP($F114,$P:$P,1,1),0)&gt;=J$2,"o","-")</f>
        <v>-</v>
      </c>
      <c r="K114" s="43" t="str">
        <f>IF(IFERROR(VLOOKUP($F114,$P:$P,1,1),0)&gt;=K$2,"o","-")</f>
        <v>-</v>
      </c>
      <c r="L114" s="43" t="str">
        <f>IF(IFERROR(VLOOKUP($F114,$P:$P,1,1),0)&gt;=L$2,"o","-")</f>
        <v>-</v>
      </c>
      <c r="M114" s="43" t="str">
        <f>IF(IFERROR(VLOOKUP($F114,$P:$P,1,1),0)&gt;=M$2,"o","-")</f>
        <v>-</v>
      </c>
      <c r="N114" s="12">
        <f>IFERROR(VLOOKUP(F114,$P:$R,3,1),0)</f>
        <v>50000</v>
      </c>
    </row>
    <row r="115" spans="2:14">
      <c r="B115" s="9">
        <v>110</v>
      </c>
      <c r="C115" s="10" t="s">
        <v>109</v>
      </c>
      <c r="D115" s="10" t="s">
        <v>298</v>
      </c>
      <c r="E115" s="58">
        <v>40709703</v>
      </c>
      <c r="F115" s="39">
        <v>2</v>
      </c>
      <c r="G115" s="42" t="str">
        <f>IF(IFERROR(VLOOKUP($F115,$P:$P,1,1),0)&gt;=G$2,"o","-")</f>
        <v>o</v>
      </c>
      <c r="H115" s="43" t="str">
        <f>IF(IFERROR(VLOOKUP($F115,$P:$P,1,1),0)&gt;=H$2,"o","-")</f>
        <v>-</v>
      </c>
      <c r="I115" s="43" t="str">
        <f>IF(IFERROR(VLOOKUP($F115,$P:$P,1,1),0)&gt;=I$2,"o","-")</f>
        <v>-</v>
      </c>
      <c r="J115" s="43" t="str">
        <f>IF(IFERROR(VLOOKUP($F115,$P:$P,1,1),0)&gt;=J$2,"o","-")</f>
        <v>-</v>
      </c>
      <c r="K115" s="43" t="str">
        <f>IF(IFERROR(VLOOKUP($F115,$P:$P,1,1),0)&gt;=K$2,"o","-")</f>
        <v>-</v>
      </c>
      <c r="L115" s="43" t="str">
        <f>IF(IFERROR(VLOOKUP($F115,$P:$P,1,1),0)&gt;=L$2,"o","-")</f>
        <v>-</v>
      </c>
      <c r="M115" s="43" t="str">
        <f>IF(IFERROR(VLOOKUP($F115,$P:$P,1,1),0)&gt;=M$2,"o","-")</f>
        <v>-</v>
      </c>
      <c r="N115" s="12">
        <f>IFERROR(VLOOKUP(F115,$P:$R,3,1),0)</f>
        <v>50000</v>
      </c>
    </row>
    <row r="116" spans="2:14">
      <c r="B116" s="9">
        <v>111</v>
      </c>
      <c r="C116" s="10" t="s">
        <v>110</v>
      </c>
      <c r="D116" s="10" t="s">
        <v>299</v>
      </c>
      <c r="E116" s="58">
        <v>41502602</v>
      </c>
      <c r="F116" s="39">
        <v>2</v>
      </c>
      <c r="G116" s="42" t="str">
        <f>IF(IFERROR(VLOOKUP($F116,$P:$P,1,1),0)&gt;=G$2,"o","-")</f>
        <v>o</v>
      </c>
      <c r="H116" s="43" t="str">
        <f>IF(IFERROR(VLOOKUP($F116,$P:$P,1,1),0)&gt;=H$2,"o","-")</f>
        <v>-</v>
      </c>
      <c r="I116" s="43" t="str">
        <f>IF(IFERROR(VLOOKUP($F116,$P:$P,1,1),0)&gt;=I$2,"o","-")</f>
        <v>-</v>
      </c>
      <c r="J116" s="43" t="str">
        <f>IF(IFERROR(VLOOKUP($F116,$P:$P,1,1),0)&gt;=J$2,"o","-")</f>
        <v>-</v>
      </c>
      <c r="K116" s="43" t="str">
        <f>IF(IFERROR(VLOOKUP($F116,$P:$P,1,1),0)&gt;=K$2,"o","-")</f>
        <v>-</v>
      </c>
      <c r="L116" s="43" t="str">
        <f>IF(IFERROR(VLOOKUP($F116,$P:$P,1,1),0)&gt;=L$2,"o","-")</f>
        <v>-</v>
      </c>
      <c r="M116" s="43" t="str">
        <f>IF(IFERROR(VLOOKUP($F116,$P:$P,1,1),0)&gt;=M$2,"o","-")</f>
        <v>-</v>
      </c>
      <c r="N116" s="12">
        <f>IFERROR(VLOOKUP(F116,$P:$R,3,1),0)</f>
        <v>50000</v>
      </c>
    </row>
    <row r="117" spans="2:14">
      <c r="B117" s="9">
        <v>112</v>
      </c>
      <c r="C117" s="10" t="s">
        <v>111</v>
      </c>
      <c r="D117" s="10" t="s">
        <v>300</v>
      </c>
      <c r="E117" s="58">
        <v>41303126</v>
      </c>
      <c r="F117" s="39">
        <v>2</v>
      </c>
      <c r="G117" s="42" t="str">
        <f>IF(IFERROR(VLOOKUP($F117,$P:$P,1,1),0)&gt;=G$2,"o","-")</f>
        <v>o</v>
      </c>
      <c r="H117" s="43" t="str">
        <f>IF(IFERROR(VLOOKUP($F117,$P:$P,1,1),0)&gt;=H$2,"o","-")</f>
        <v>-</v>
      </c>
      <c r="I117" s="43" t="str">
        <f>IF(IFERROR(VLOOKUP($F117,$P:$P,1,1),0)&gt;=I$2,"o","-")</f>
        <v>-</v>
      </c>
      <c r="J117" s="43" t="str">
        <f>IF(IFERROR(VLOOKUP($F117,$P:$P,1,1),0)&gt;=J$2,"o","-")</f>
        <v>-</v>
      </c>
      <c r="K117" s="43" t="str">
        <f>IF(IFERROR(VLOOKUP($F117,$P:$P,1,1),0)&gt;=K$2,"o","-")</f>
        <v>-</v>
      </c>
      <c r="L117" s="43" t="str">
        <f>IF(IFERROR(VLOOKUP($F117,$P:$P,1,1),0)&gt;=L$2,"o","-")</f>
        <v>-</v>
      </c>
      <c r="M117" s="43" t="str">
        <f>IF(IFERROR(VLOOKUP($F117,$P:$P,1,1),0)&gt;=M$2,"o","-")</f>
        <v>-</v>
      </c>
      <c r="N117" s="12">
        <f>IFERROR(VLOOKUP(F117,$P:$R,3,1),0)</f>
        <v>50000</v>
      </c>
    </row>
    <row r="118" spans="2:14">
      <c r="B118" s="9">
        <v>113</v>
      </c>
      <c r="C118" s="10" t="s">
        <v>112</v>
      </c>
      <c r="D118" s="10" t="s">
        <v>301</v>
      </c>
      <c r="E118" s="58">
        <v>31903347</v>
      </c>
      <c r="F118" s="39">
        <v>2</v>
      </c>
      <c r="G118" s="42" t="str">
        <f>IF(IFERROR(VLOOKUP($F118,$P:$P,1,1),0)&gt;=G$2,"o","-")</f>
        <v>o</v>
      </c>
      <c r="H118" s="43" t="str">
        <f>IF(IFERROR(VLOOKUP($F118,$P:$P,1,1),0)&gt;=H$2,"o","-")</f>
        <v>-</v>
      </c>
      <c r="I118" s="43" t="str">
        <f>IF(IFERROR(VLOOKUP($F118,$P:$P,1,1),0)&gt;=I$2,"o","-")</f>
        <v>-</v>
      </c>
      <c r="J118" s="43" t="str">
        <f>IF(IFERROR(VLOOKUP($F118,$P:$P,1,1),0)&gt;=J$2,"o","-")</f>
        <v>-</v>
      </c>
      <c r="K118" s="43" t="str">
        <f>IF(IFERROR(VLOOKUP($F118,$P:$P,1,1),0)&gt;=K$2,"o","-")</f>
        <v>-</v>
      </c>
      <c r="L118" s="43" t="str">
        <f>IF(IFERROR(VLOOKUP($F118,$P:$P,1,1),0)&gt;=L$2,"o","-")</f>
        <v>-</v>
      </c>
      <c r="M118" s="43" t="str">
        <f>IF(IFERROR(VLOOKUP($F118,$P:$P,1,1),0)&gt;=M$2,"o","-")</f>
        <v>-</v>
      </c>
      <c r="N118" s="12">
        <f>IFERROR(VLOOKUP(F118,$P:$R,3,1),0)</f>
        <v>50000</v>
      </c>
    </row>
    <row r="119" spans="2:14">
      <c r="B119" s="9">
        <v>114</v>
      </c>
      <c r="C119" s="10" t="s">
        <v>113</v>
      </c>
      <c r="D119" s="10" t="s">
        <v>302</v>
      </c>
      <c r="E119" s="58">
        <v>32303081</v>
      </c>
      <c r="F119" s="39">
        <v>2</v>
      </c>
      <c r="G119" s="42" t="str">
        <f>IF(IFERROR(VLOOKUP($F119,$P:$P,1,1),0)&gt;=G$2,"o","-")</f>
        <v>o</v>
      </c>
      <c r="H119" s="43" t="str">
        <f>IF(IFERROR(VLOOKUP($F119,$P:$P,1,1),0)&gt;=H$2,"o","-")</f>
        <v>-</v>
      </c>
      <c r="I119" s="43" t="str">
        <f>IF(IFERROR(VLOOKUP($F119,$P:$P,1,1),0)&gt;=I$2,"o","-")</f>
        <v>-</v>
      </c>
      <c r="J119" s="43" t="str">
        <f>IF(IFERROR(VLOOKUP($F119,$P:$P,1,1),0)&gt;=J$2,"o","-")</f>
        <v>-</v>
      </c>
      <c r="K119" s="43" t="str">
        <f>IF(IFERROR(VLOOKUP($F119,$P:$P,1,1),0)&gt;=K$2,"o","-")</f>
        <v>-</v>
      </c>
      <c r="L119" s="43" t="str">
        <f>IF(IFERROR(VLOOKUP($F119,$P:$P,1,1),0)&gt;=L$2,"o","-")</f>
        <v>-</v>
      </c>
      <c r="M119" s="43" t="str">
        <f>IF(IFERROR(VLOOKUP($F119,$P:$P,1,1),0)&gt;=M$2,"o","-")</f>
        <v>-</v>
      </c>
      <c r="N119" s="12">
        <f>IFERROR(VLOOKUP(F119,$P:$R,3,1),0)</f>
        <v>50000</v>
      </c>
    </row>
    <row r="120" spans="2:14">
      <c r="B120" s="9">
        <v>115</v>
      </c>
      <c r="C120" s="10" t="s">
        <v>114</v>
      </c>
      <c r="D120" s="10" t="s">
        <v>303</v>
      </c>
      <c r="E120" s="58">
        <v>40734552</v>
      </c>
      <c r="F120" s="39">
        <v>2</v>
      </c>
      <c r="G120" s="42" t="str">
        <f>IF(IFERROR(VLOOKUP($F120,$P:$P,1,1),0)&gt;=G$2,"o","-")</f>
        <v>o</v>
      </c>
      <c r="H120" s="43" t="str">
        <f>IF(IFERROR(VLOOKUP($F120,$P:$P,1,1),0)&gt;=H$2,"o","-")</f>
        <v>-</v>
      </c>
      <c r="I120" s="43" t="str">
        <f>IF(IFERROR(VLOOKUP($F120,$P:$P,1,1),0)&gt;=I$2,"o","-")</f>
        <v>-</v>
      </c>
      <c r="J120" s="43" t="str">
        <f>IF(IFERROR(VLOOKUP($F120,$P:$P,1,1),0)&gt;=J$2,"o","-")</f>
        <v>-</v>
      </c>
      <c r="K120" s="43" t="str">
        <f>IF(IFERROR(VLOOKUP($F120,$P:$P,1,1),0)&gt;=K$2,"o","-")</f>
        <v>-</v>
      </c>
      <c r="L120" s="43" t="str">
        <f>IF(IFERROR(VLOOKUP($F120,$P:$P,1,1),0)&gt;=L$2,"o","-")</f>
        <v>-</v>
      </c>
      <c r="M120" s="43" t="str">
        <f>IF(IFERROR(VLOOKUP($F120,$P:$P,1,1),0)&gt;=M$2,"o","-")</f>
        <v>-</v>
      </c>
      <c r="N120" s="12">
        <f>IFERROR(VLOOKUP(F120,$P:$R,3,1),0)</f>
        <v>50000</v>
      </c>
    </row>
    <row r="121" spans="2:14">
      <c r="B121" s="9">
        <v>116</v>
      </c>
      <c r="C121" s="10" t="s">
        <v>115</v>
      </c>
      <c r="D121" s="10" t="s">
        <v>304</v>
      </c>
      <c r="E121" s="58">
        <v>31304162</v>
      </c>
      <c r="F121" s="39">
        <v>2</v>
      </c>
      <c r="G121" s="42" t="str">
        <f>IF(IFERROR(VLOOKUP($F121,$P:$P,1,1),0)&gt;=G$2,"o","-")</f>
        <v>o</v>
      </c>
      <c r="H121" s="43" t="str">
        <f>IF(IFERROR(VLOOKUP($F121,$P:$P,1,1),0)&gt;=H$2,"o","-")</f>
        <v>-</v>
      </c>
      <c r="I121" s="43" t="str">
        <f>IF(IFERROR(VLOOKUP($F121,$P:$P,1,1),0)&gt;=I$2,"o","-")</f>
        <v>-</v>
      </c>
      <c r="J121" s="43" t="str">
        <f>IF(IFERROR(VLOOKUP($F121,$P:$P,1,1),0)&gt;=J$2,"o","-")</f>
        <v>-</v>
      </c>
      <c r="K121" s="43" t="str">
        <f>IF(IFERROR(VLOOKUP($F121,$P:$P,1,1),0)&gt;=K$2,"o","-")</f>
        <v>-</v>
      </c>
      <c r="L121" s="43" t="str">
        <f>IF(IFERROR(VLOOKUP($F121,$P:$P,1,1),0)&gt;=L$2,"o","-")</f>
        <v>-</v>
      </c>
      <c r="M121" s="43" t="str">
        <f>IF(IFERROR(VLOOKUP($F121,$P:$P,1,1),0)&gt;=M$2,"o","-")</f>
        <v>-</v>
      </c>
      <c r="N121" s="12">
        <f>IFERROR(VLOOKUP(F121,$P:$R,3,1),0)</f>
        <v>50000</v>
      </c>
    </row>
    <row r="122" spans="2:14">
      <c r="B122" s="9">
        <v>117</v>
      </c>
      <c r="C122" s="10" t="s">
        <v>116</v>
      </c>
      <c r="D122" s="10" t="s">
        <v>305</v>
      </c>
      <c r="E122" s="58">
        <v>41800610</v>
      </c>
      <c r="F122" s="39">
        <v>2</v>
      </c>
      <c r="G122" s="42" t="str">
        <f>IF(IFERROR(VLOOKUP($F122,$P:$P,1,1),0)&gt;=G$2,"o","-")</f>
        <v>o</v>
      </c>
      <c r="H122" s="43" t="str">
        <f>IF(IFERROR(VLOOKUP($F122,$P:$P,1,1),0)&gt;=H$2,"o","-")</f>
        <v>-</v>
      </c>
      <c r="I122" s="43" t="str">
        <f>IF(IFERROR(VLOOKUP($F122,$P:$P,1,1),0)&gt;=I$2,"o","-")</f>
        <v>-</v>
      </c>
      <c r="J122" s="43" t="str">
        <f>IF(IFERROR(VLOOKUP($F122,$P:$P,1,1),0)&gt;=J$2,"o","-")</f>
        <v>-</v>
      </c>
      <c r="K122" s="43" t="str">
        <f>IF(IFERROR(VLOOKUP($F122,$P:$P,1,1),0)&gt;=K$2,"o","-")</f>
        <v>-</v>
      </c>
      <c r="L122" s="43" t="str">
        <f>IF(IFERROR(VLOOKUP($F122,$P:$P,1,1),0)&gt;=L$2,"o","-")</f>
        <v>-</v>
      </c>
      <c r="M122" s="43" t="str">
        <f>IF(IFERROR(VLOOKUP($F122,$P:$P,1,1),0)&gt;=M$2,"o","-")</f>
        <v>-</v>
      </c>
      <c r="N122" s="12">
        <f>IFERROR(VLOOKUP(F122,$P:$R,3,1),0)</f>
        <v>50000</v>
      </c>
    </row>
    <row r="123" spans="2:14">
      <c r="B123" s="9">
        <v>118</v>
      </c>
      <c r="C123" s="10" t="s">
        <v>117</v>
      </c>
      <c r="D123" s="10" t="s">
        <v>306</v>
      </c>
      <c r="E123" s="58">
        <v>29211465</v>
      </c>
      <c r="F123" s="39">
        <v>2</v>
      </c>
      <c r="G123" s="42" t="str">
        <f>IF(IFERROR(VLOOKUP($F123,$P:$P,1,1),0)&gt;=G$2,"o","-")</f>
        <v>o</v>
      </c>
      <c r="H123" s="43" t="str">
        <f>IF(IFERROR(VLOOKUP($F123,$P:$P,1,1),0)&gt;=H$2,"o","-")</f>
        <v>-</v>
      </c>
      <c r="I123" s="43" t="str">
        <f>IF(IFERROR(VLOOKUP($F123,$P:$P,1,1),0)&gt;=I$2,"o","-")</f>
        <v>-</v>
      </c>
      <c r="J123" s="43" t="str">
        <f>IF(IFERROR(VLOOKUP($F123,$P:$P,1,1),0)&gt;=J$2,"o","-")</f>
        <v>-</v>
      </c>
      <c r="K123" s="43" t="str">
        <f>IF(IFERROR(VLOOKUP($F123,$P:$P,1,1),0)&gt;=K$2,"o","-")</f>
        <v>-</v>
      </c>
      <c r="L123" s="43" t="str">
        <f>IF(IFERROR(VLOOKUP($F123,$P:$P,1,1),0)&gt;=L$2,"o","-")</f>
        <v>-</v>
      </c>
      <c r="M123" s="43" t="str">
        <f>IF(IFERROR(VLOOKUP($F123,$P:$P,1,1),0)&gt;=M$2,"o","-")</f>
        <v>-</v>
      </c>
      <c r="N123" s="12">
        <f>IFERROR(VLOOKUP(F123,$P:$R,3,1),0)</f>
        <v>50000</v>
      </c>
    </row>
    <row r="124" spans="2:14">
      <c r="B124" s="9">
        <v>119</v>
      </c>
      <c r="C124" s="10" t="s">
        <v>118</v>
      </c>
      <c r="D124" s="10" t="s">
        <v>307</v>
      </c>
      <c r="E124" s="58">
        <v>41901041</v>
      </c>
      <c r="F124" s="39">
        <v>2</v>
      </c>
      <c r="G124" s="42" t="str">
        <f>IF(IFERROR(VLOOKUP($F124,$P:$P,1,1),0)&gt;=G$2,"o","-")</f>
        <v>o</v>
      </c>
      <c r="H124" s="43" t="str">
        <f>IF(IFERROR(VLOOKUP($F124,$P:$P,1,1),0)&gt;=H$2,"o","-")</f>
        <v>-</v>
      </c>
      <c r="I124" s="43" t="str">
        <f>IF(IFERROR(VLOOKUP($F124,$P:$P,1,1),0)&gt;=I$2,"o","-")</f>
        <v>-</v>
      </c>
      <c r="J124" s="43" t="str">
        <f>IF(IFERROR(VLOOKUP($F124,$P:$P,1,1),0)&gt;=J$2,"o","-")</f>
        <v>-</v>
      </c>
      <c r="K124" s="43" t="str">
        <f>IF(IFERROR(VLOOKUP($F124,$P:$P,1,1),0)&gt;=K$2,"o","-")</f>
        <v>-</v>
      </c>
      <c r="L124" s="43" t="str">
        <f>IF(IFERROR(VLOOKUP($F124,$P:$P,1,1),0)&gt;=L$2,"o","-")</f>
        <v>-</v>
      </c>
      <c r="M124" s="43" t="str">
        <f>IF(IFERROR(VLOOKUP($F124,$P:$P,1,1),0)&gt;=M$2,"o","-")</f>
        <v>-</v>
      </c>
      <c r="N124" s="12">
        <f>IFERROR(VLOOKUP(F124,$P:$R,3,1),0)</f>
        <v>50000</v>
      </c>
    </row>
    <row r="125" spans="2:14">
      <c r="B125" s="9">
        <v>120</v>
      </c>
      <c r="C125" s="10" t="s">
        <v>119</v>
      </c>
      <c r="D125" s="10" t="s">
        <v>308</v>
      </c>
      <c r="E125" s="58">
        <v>41507382</v>
      </c>
      <c r="F125" s="39">
        <v>2</v>
      </c>
      <c r="G125" s="42" t="str">
        <f>IF(IFERROR(VLOOKUP($F125,$P:$P,1,1),0)&gt;=G$2,"o","-")</f>
        <v>o</v>
      </c>
      <c r="H125" s="43" t="str">
        <f>IF(IFERROR(VLOOKUP($F125,$P:$P,1,1),0)&gt;=H$2,"o","-")</f>
        <v>-</v>
      </c>
      <c r="I125" s="43" t="str">
        <f>IF(IFERROR(VLOOKUP($F125,$P:$P,1,1),0)&gt;=I$2,"o","-")</f>
        <v>-</v>
      </c>
      <c r="J125" s="43" t="str">
        <f>IF(IFERROR(VLOOKUP($F125,$P:$P,1,1),0)&gt;=J$2,"o","-")</f>
        <v>-</v>
      </c>
      <c r="K125" s="43" t="str">
        <f>IF(IFERROR(VLOOKUP($F125,$P:$P,1,1),0)&gt;=K$2,"o","-")</f>
        <v>-</v>
      </c>
      <c r="L125" s="43" t="str">
        <f>IF(IFERROR(VLOOKUP($F125,$P:$P,1,1),0)&gt;=L$2,"o","-")</f>
        <v>-</v>
      </c>
      <c r="M125" s="43" t="str">
        <f>IF(IFERROR(VLOOKUP($F125,$P:$P,1,1),0)&gt;=M$2,"o","-")</f>
        <v>-</v>
      </c>
      <c r="N125" s="12">
        <f>IFERROR(VLOOKUP(F125,$P:$R,3,1),0)</f>
        <v>50000</v>
      </c>
    </row>
    <row r="126" spans="2:14">
      <c r="B126" s="9">
        <v>121</v>
      </c>
      <c r="C126" s="10" t="s">
        <v>120</v>
      </c>
      <c r="D126" s="10" t="s">
        <v>309</v>
      </c>
      <c r="E126" s="58">
        <v>31500957</v>
      </c>
      <c r="F126" s="39">
        <v>2</v>
      </c>
      <c r="G126" s="42" t="str">
        <f>IF(IFERROR(VLOOKUP($F126,$P:$P,1,1),0)&gt;=G$2,"o","-")</f>
        <v>o</v>
      </c>
      <c r="H126" s="43" t="str">
        <f>IF(IFERROR(VLOOKUP($F126,$P:$P,1,1),0)&gt;=H$2,"o","-")</f>
        <v>-</v>
      </c>
      <c r="I126" s="43" t="str">
        <f>IF(IFERROR(VLOOKUP($F126,$P:$P,1,1),0)&gt;=I$2,"o","-")</f>
        <v>-</v>
      </c>
      <c r="J126" s="43" t="str">
        <f>IF(IFERROR(VLOOKUP($F126,$P:$P,1,1),0)&gt;=J$2,"o","-")</f>
        <v>-</v>
      </c>
      <c r="K126" s="43" t="str">
        <f>IF(IFERROR(VLOOKUP($F126,$P:$P,1,1),0)&gt;=K$2,"o","-")</f>
        <v>-</v>
      </c>
      <c r="L126" s="43" t="str">
        <f>IF(IFERROR(VLOOKUP($F126,$P:$P,1,1),0)&gt;=L$2,"o","-")</f>
        <v>-</v>
      </c>
      <c r="M126" s="43" t="str">
        <f>IF(IFERROR(VLOOKUP($F126,$P:$P,1,1),0)&gt;=M$2,"o","-")</f>
        <v>-</v>
      </c>
      <c r="N126" s="12">
        <f>IFERROR(VLOOKUP(F126,$P:$R,3,1),0)</f>
        <v>50000</v>
      </c>
    </row>
    <row r="127" spans="2:14">
      <c r="B127" s="9">
        <v>122</v>
      </c>
      <c r="C127" s="10" t="s">
        <v>121</v>
      </c>
      <c r="D127" s="10" t="s">
        <v>310</v>
      </c>
      <c r="E127" s="58">
        <v>41801286</v>
      </c>
      <c r="F127" s="39">
        <v>2</v>
      </c>
      <c r="G127" s="42" t="str">
        <f>IF(IFERROR(VLOOKUP($F127,$P:$P,1,1),0)&gt;=G$2,"o","-")</f>
        <v>o</v>
      </c>
      <c r="H127" s="43" t="str">
        <f>IF(IFERROR(VLOOKUP($F127,$P:$P,1,1),0)&gt;=H$2,"o","-")</f>
        <v>-</v>
      </c>
      <c r="I127" s="43" t="str">
        <f>IF(IFERROR(VLOOKUP($F127,$P:$P,1,1),0)&gt;=I$2,"o","-")</f>
        <v>-</v>
      </c>
      <c r="J127" s="43" t="str">
        <f>IF(IFERROR(VLOOKUP($F127,$P:$P,1,1),0)&gt;=J$2,"o","-")</f>
        <v>-</v>
      </c>
      <c r="K127" s="43" t="str">
        <f>IF(IFERROR(VLOOKUP($F127,$P:$P,1,1),0)&gt;=K$2,"o","-")</f>
        <v>-</v>
      </c>
      <c r="L127" s="43" t="str">
        <f>IF(IFERROR(VLOOKUP($F127,$P:$P,1,1),0)&gt;=L$2,"o","-")</f>
        <v>-</v>
      </c>
      <c r="M127" s="43" t="str">
        <f>IF(IFERROR(VLOOKUP($F127,$P:$P,1,1),0)&gt;=M$2,"o","-")</f>
        <v>-</v>
      </c>
      <c r="N127" s="12">
        <f>IFERROR(VLOOKUP(F127,$P:$R,3,1),0)</f>
        <v>50000</v>
      </c>
    </row>
    <row r="128" spans="2:14">
      <c r="B128" s="9">
        <v>123</v>
      </c>
      <c r="C128" s="10" t="s">
        <v>122</v>
      </c>
      <c r="D128" s="10" t="s">
        <v>311</v>
      </c>
      <c r="E128" s="58">
        <v>40604646</v>
      </c>
      <c r="F128" s="39">
        <v>2</v>
      </c>
      <c r="G128" s="42" t="str">
        <f>IF(IFERROR(VLOOKUP($F128,$P:$P,1,1),0)&gt;=G$2,"o","-")</f>
        <v>o</v>
      </c>
      <c r="H128" s="43" t="str">
        <f>IF(IFERROR(VLOOKUP($F128,$P:$P,1,1),0)&gt;=H$2,"o","-")</f>
        <v>-</v>
      </c>
      <c r="I128" s="43" t="str">
        <f>IF(IFERROR(VLOOKUP($F128,$P:$P,1,1),0)&gt;=I$2,"o","-")</f>
        <v>-</v>
      </c>
      <c r="J128" s="43" t="str">
        <f>IF(IFERROR(VLOOKUP($F128,$P:$P,1,1),0)&gt;=J$2,"o","-")</f>
        <v>-</v>
      </c>
      <c r="K128" s="43" t="str">
        <f>IF(IFERROR(VLOOKUP($F128,$P:$P,1,1),0)&gt;=K$2,"o","-")</f>
        <v>-</v>
      </c>
      <c r="L128" s="43" t="str">
        <f>IF(IFERROR(VLOOKUP($F128,$P:$P,1,1),0)&gt;=L$2,"o","-")</f>
        <v>-</v>
      </c>
      <c r="M128" s="43" t="str">
        <f>IF(IFERROR(VLOOKUP($F128,$P:$P,1,1),0)&gt;=M$2,"o","-")</f>
        <v>-</v>
      </c>
      <c r="N128" s="12">
        <f>IFERROR(VLOOKUP(F128,$P:$R,3,1),0)</f>
        <v>50000</v>
      </c>
    </row>
    <row r="129" spans="2:14">
      <c r="B129" s="9">
        <v>124</v>
      </c>
      <c r="C129" s="10" t="s">
        <v>123</v>
      </c>
      <c r="D129" s="10" t="s">
        <v>312</v>
      </c>
      <c r="E129" s="58">
        <v>40706274</v>
      </c>
      <c r="F129" s="39">
        <v>2</v>
      </c>
      <c r="G129" s="42" t="str">
        <f>IF(IFERROR(VLOOKUP($F129,$P:$P,1,1),0)&gt;=G$2,"o","-")</f>
        <v>o</v>
      </c>
      <c r="H129" s="43" t="str">
        <f>IF(IFERROR(VLOOKUP($F129,$P:$P,1,1),0)&gt;=H$2,"o","-")</f>
        <v>-</v>
      </c>
      <c r="I129" s="43" t="str">
        <f>IF(IFERROR(VLOOKUP($F129,$P:$P,1,1),0)&gt;=I$2,"o","-")</f>
        <v>-</v>
      </c>
      <c r="J129" s="43" t="str">
        <f>IF(IFERROR(VLOOKUP($F129,$P:$P,1,1),0)&gt;=J$2,"o","-")</f>
        <v>-</v>
      </c>
      <c r="K129" s="43" t="str">
        <f>IF(IFERROR(VLOOKUP($F129,$P:$P,1,1),0)&gt;=K$2,"o","-")</f>
        <v>-</v>
      </c>
      <c r="L129" s="43" t="str">
        <f>IF(IFERROR(VLOOKUP($F129,$P:$P,1,1),0)&gt;=L$2,"o","-")</f>
        <v>-</v>
      </c>
      <c r="M129" s="43" t="str">
        <f>IF(IFERROR(VLOOKUP($F129,$P:$P,1,1),0)&gt;=M$2,"o","-")</f>
        <v>-</v>
      </c>
      <c r="N129" s="12">
        <f>IFERROR(VLOOKUP(F129,$P:$R,3,1),0)</f>
        <v>50000</v>
      </c>
    </row>
    <row r="130" spans="2:14">
      <c r="B130" s="9">
        <v>125</v>
      </c>
      <c r="C130" s="10" t="s">
        <v>124</v>
      </c>
      <c r="D130" s="10" t="s">
        <v>313</v>
      </c>
      <c r="E130" s="58">
        <v>42402341</v>
      </c>
      <c r="F130" s="39">
        <v>2</v>
      </c>
      <c r="G130" s="42" t="str">
        <f>IF(IFERROR(VLOOKUP($F130,$P:$P,1,1),0)&gt;=G$2,"o","-")</f>
        <v>o</v>
      </c>
      <c r="H130" s="43" t="str">
        <f>IF(IFERROR(VLOOKUP($F130,$P:$P,1,1),0)&gt;=H$2,"o","-")</f>
        <v>-</v>
      </c>
      <c r="I130" s="43" t="str">
        <f>IF(IFERROR(VLOOKUP($F130,$P:$P,1,1),0)&gt;=I$2,"o","-")</f>
        <v>-</v>
      </c>
      <c r="J130" s="43" t="str">
        <f>IF(IFERROR(VLOOKUP($F130,$P:$P,1,1),0)&gt;=J$2,"o","-")</f>
        <v>-</v>
      </c>
      <c r="K130" s="43" t="str">
        <f>IF(IFERROR(VLOOKUP($F130,$P:$P,1,1),0)&gt;=K$2,"o","-")</f>
        <v>-</v>
      </c>
      <c r="L130" s="43" t="str">
        <f>IF(IFERROR(VLOOKUP($F130,$P:$P,1,1),0)&gt;=L$2,"o","-")</f>
        <v>-</v>
      </c>
      <c r="M130" s="43" t="str">
        <f>IF(IFERROR(VLOOKUP($F130,$P:$P,1,1),0)&gt;=M$2,"o","-")</f>
        <v>-</v>
      </c>
      <c r="N130" s="12">
        <f>IFERROR(VLOOKUP(F130,$P:$R,3,1),0)</f>
        <v>50000</v>
      </c>
    </row>
    <row r="131" spans="2:14">
      <c r="B131" s="9">
        <v>126</v>
      </c>
      <c r="C131" s="10" t="s">
        <v>125</v>
      </c>
      <c r="D131" s="10" t="s">
        <v>314</v>
      </c>
      <c r="E131" s="58">
        <v>31804338</v>
      </c>
      <c r="F131" s="39">
        <v>2</v>
      </c>
      <c r="G131" s="42" t="str">
        <f>IF(IFERROR(VLOOKUP($F131,$P:$P,1,1),0)&gt;=G$2,"o","-")</f>
        <v>o</v>
      </c>
      <c r="H131" s="43" t="str">
        <f>IF(IFERROR(VLOOKUP($F131,$P:$P,1,1),0)&gt;=H$2,"o","-")</f>
        <v>-</v>
      </c>
      <c r="I131" s="43" t="str">
        <f>IF(IFERROR(VLOOKUP($F131,$P:$P,1,1),0)&gt;=I$2,"o","-")</f>
        <v>-</v>
      </c>
      <c r="J131" s="43" t="str">
        <f>IF(IFERROR(VLOOKUP($F131,$P:$P,1,1),0)&gt;=J$2,"o","-")</f>
        <v>-</v>
      </c>
      <c r="K131" s="43" t="str">
        <f>IF(IFERROR(VLOOKUP($F131,$P:$P,1,1),0)&gt;=K$2,"o","-")</f>
        <v>-</v>
      </c>
      <c r="L131" s="43" t="str">
        <f>IF(IFERROR(VLOOKUP($F131,$P:$P,1,1),0)&gt;=L$2,"o","-")</f>
        <v>-</v>
      </c>
      <c r="M131" s="43" t="str">
        <f>IF(IFERROR(VLOOKUP($F131,$P:$P,1,1),0)&gt;=M$2,"o","-")</f>
        <v>-</v>
      </c>
      <c r="N131" s="12">
        <f>IFERROR(VLOOKUP(F131,$P:$R,3,1),0)</f>
        <v>50000</v>
      </c>
    </row>
    <row r="132" spans="2:14">
      <c r="B132" s="9">
        <v>127</v>
      </c>
      <c r="C132" s="10" t="s">
        <v>126</v>
      </c>
      <c r="D132" s="10" t="s">
        <v>315</v>
      </c>
      <c r="E132" s="58">
        <v>42302531</v>
      </c>
      <c r="F132" s="39">
        <v>2</v>
      </c>
      <c r="G132" s="42" t="str">
        <f>IF(IFERROR(VLOOKUP($F132,$P:$P,1,1),0)&gt;=G$2,"o","-")</f>
        <v>o</v>
      </c>
      <c r="H132" s="43" t="str">
        <f>IF(IFERROR(VLOOKUP($F132,$P:$P,1,1),0)&gt;=H$2,"o","-")</f>
        <v>-</v>
      </c>
      <c r="I132" s="43" t="str">
        <f>IF(IFERROR(VLOOKUP($F132,$P:$P,1,1),0)&gt;=I$2,"o","-")</f>
        <v>-</v>
      </c>
      <c r="J132" s="43" t="str">
        <f>IF(IFERROR(VLOOKUP($F132,$P:$P,1,1),0)&gt;=J$2,"o","-")</f>
        <v>-</v>
      </c>
      <c r="K132" s="43" t="str">
        <f>IF(IFERROR(VLOOKUP($F132,$P:$P,1,1),0)&gt;=K$2,"o","-")</f>
        <v>-</v>
      </c>
      <c r="L132" s="43" t="str">
        <f>IF(IFERROR(VLOOKUP($F132,$P:$P,1,1),0)&gt;=L$2,"o","-")</f>
        <v>-</v>
      </c>
      <c r="M132" s="43" t="str">
        <f>IF(IFERROR(VLOOKUP($F132,$P:$P,1,1),0)&gt;=M$2,"o","-")</f>
        <v>-</v>
      </c>
      <c r="N132" s="12">
        <f>IFERROR(VLOOKUP(F132,$P:$R,3,1),0)</f>
        <v>50000</v>
      </c>
    </row>
    <row r="133" spans="2:14">
      <c r="B133" s="9">
        <v>128</v>
      </c>
      <c r="C133" s="10" t="s">
        <v>127</v>
      </c>
      <c r="D133" s="10" t="s">
        <v>316</v>
      </c>
      <c r="E133" s="58">
        <v>31700829</v>
      </c>
      <c r="F133" s="39">
        <v>2</v>
      </c>
      <c r="G133" s="42" t="str">
        <f>IF(IFERROR(VLOOKUP($F133,$P:$P,1,1),0)&gt;=G$2,"o","-")</f>
        <v>o</v>
      </c>
      <c r="H133" s="43" t="str">
        <f>IF(IFERROR(VLOOKUP($F133,$P:$P,1,1),0)&gt;=H$2,"o","-")</f>
        <v>-</v>
      </c>
      <c r="I133" s="43" t="str">
        <f>IF(IFERROR(VLOOKUP($F133,$P:$P,1,1),0)&gt;=I$2,"o","-")</f>
        <v>-</v>
      </c>
      <c r="J133" s="43" t="str">
        <f>IF(IFERROR(VLOOKUP($F133,$P:$P,1,1),0)&gt;=J$2,"o","-")</f>
        <v>-</v>
      </c>
      <c r="K133" s="43" t="str">
        <f>IF(IFERROR(VLOOKUP($F133,$P:$P,1,1),0)&gt;=K$2,"o","-")</f>
        <v>-</v>
      </c>
      <c r="L133" s="43" t="str">
        <f>IF(IFERROR(VLOOKUP($F133,$P:$P,1,1),0)&gt;=L$2,"o","-")</f>
        <v>-</v>
      </c>
      <c r="M133" s="43" t="str">
        <f>IF(IFERROR(VLOOKUP($F133,$P:$P,1,1),0)&gt;=M$2,"o","-")</f>
        <v>-</v>
      </c>
      <c r="N133" s="12">
        <f>IFERROR(VLOOKUP(F133,$P:$R,3,1),0)</f>
        <v>50000</v>
      </c>
    </row>
    <row r="134" spans="2:14">
      <c r="B134" s="9">
        <v>129</v>
      </c>
      <c r="C134" s="10" t="s">
        <v>128</v>
      </c>
      <c r="D134" s="10" t="s">
        <v>317</v>
      </c>
      <c r="E134" s="58">
        <v>32100527</v>
      </c>
      <c r="F134" s="39">
        <v>2</v>
      </c>
      <c r="G134" s="42" t="str">
        <f>IF(IFERROR(VLOOKUP($F134,$P:$P,1,1),0)&gt;=G$2,"o","-")</f>
        <v>o</v>
      </c>
      <c r="H134" s="43" t="str">
        <f>IF(IFERROR(VLOOKUP($F134,$P:$P,1,1),0)&gt;=H$2,"o","-")</f>
        <v>-</v>
      </c>
      <c r="I134" s="43" t="str">
        <f>IF(IFERROR(VLOOKUP($F134,$P:$P,1,1),0)&gt;=I$2,"o","-")</f>
        <v>-</v>
      </c>
      <c r="J134" s="43" t="str">
        <f>IF(IFERROR(VLOOKUP($F134,$P:$P,1,1),0)&gt;=J$2,"o","-")</f>
        <v>-</v>
      </c>
      <c r="K134" s="43" t="str">
        <f>IF(IFERROR(VLOOKUP($F134,$P:$P,1,1),0)&gt;=K$2,"o","-")</f>
        <v>-</v>
      </c>
      <c r="L134" s="43" t="str">
        <f>IF(IFERROR(VLOOKUP($F134,$P:$P,1,1),0)&gt;=L$2,"o","-")</f>
        <v>-</v>
      </c>
      <c r="M134" s="43" t="str">
        <f>IF(IFERROR(VLOOKUP($F134,$P:$P,1,1),0)&gt;=M$2,"o","-")</f>
        <v>-</v>
      </c>
      <c r="N134" s="12">
        <f>IFERROR(VLOOKUP(F134,$P:$R,3,1),0)</f>
        <v>50000</v>
      </c>
    </row>
    <row r="135" spans="2:14">
      <c r="B135" s="9">
        <v>130</v>
      </c>
      <c r="C135" s="10" t="s">
        <v>129</v>
      </c>
      <c r="D135" s="10" t="s">
        <v>318</v>
      </c>
      <c r="E135" s="58">
        <v>41900493</v>
      </c>
      <c r="F135" s="39">
        <v>2</v>
      </c>
      <c r="G135" s="42" t="str">
        <f>IF(IFERROR(VLOOKUP($F135,$P:$P,1,1),0)&gt;=G$2,"o","-")</f>
        <v>o</v>
      </c>
      <c r="H135" s="43" t="str">
        <f>IF(IFERROR(VLOOKUP($F135,$P:$P,1,1),0)&gt;=H$2,"o","-")</f>
        <v>-</v>
      </c>
      <c r="I135" s="43" t="str">
        <f>IF(IFERROR(VLOOKUP($F135,$P:$P,1,1),0)&gt;=I$2,"o","-")</f>
        <v>-</v>
      </c>
      <c r="J135" s="43" t="str">
        <f>IF(IFERROR(VLOOKUP($F135,$P:$P,1,1),0)&gt;=J$2,"o","-")</f>
        <v>-</v>
      </c>
      <c r="K135" s="43" t="str">
        <f>IF(IFERROR(VLOOKUP($F135,$P:$P,1,1),0)&gt;=K$2,"o","-")</f>
        <v>-</v>
      </c>
      <c r="L135" s="43" t="str">
        <f>IF(IFERROR(VLOOKUP($F135,$P:$P,1,1),0)&gt;=L$2,"o","-")</f>
        <v>-</v>
      </c>
      <c r="M135" s="43" t="str">
        <f>IF(IFERROR(VLOOKUP($F135,$P:$P,1,1),0)&gt;=M$2,"o","-")</f>
        <v>-</v>
      </c>
      <c r="N135" s="12">
        <f>IFERROR(VLOOKUP(F135,$P:$R,3,1),0)</f>
        <v>50000</v>
      </c>
    </row>
    <row r="136" spans="2:14">
      <c r="B136" s="9">
        <v>131</v>
      </c>
      <c r="C136" s="10" t="s">
        <v>130</v>
      </c>
      <c r="D136" s="10" t="s">
        <v>319</v>
      </c>
      <c r="E136" s="58">
        <v>31300391</v>
      </c>
      <c r="F136" s="39">
        <v>2</v>
      </c>
      <c r="G136" s="42" t="str">
        <f>IF(IFERROR(VLOOKUP($F136,$P:$P,1,1),0)&gt;=G$2,"o","-")</f>
        <v>o</v>
      </c>
      <c r="H136" s="43" t="str">
        <f>IF(IFERROR(VLOOKUP($F136,$P:$P,1,1),0)&gt;=H$2,"o","-")</f>
        <v>-</v>
      </c>
      <c r="I136" s="43" t="str">
        <f>IF(IFERROR(VLOOKUP($F136,$P:$P,1,1),0)&gt;=I$2,"o","-")</f>
        <v>-</v>
      </c>
      <c r="J136" s="43" t="str">
        <f>IF(IFERROR(VLOOKUP($F136,$P:$P,1,1),0)&gt;=J$2,"o","-")</f>
        <v>-</v>
      </c>
      <c r="K136" s="43" t="str">
        <f>IF(IFERROR(VLOOKUP($F136,$P:$P,1,1),0)&gt;=K$2,"o","-")</f>
        <v>-</v>
      </c>
      <c r="L136" s="43" t="str">
        <f>IF(IFERROR(VLOOKUP($F136,$P:$P,1,1),0)&gt;=L$2,"o","-")</f>
        <v>-</v>
      </c>
      <c r="M136" s="43" t="str">
        <f>IF(IFERROR(VLOOKUP($F136,$P:$P,1,1),0)&gt;=M$2,"o","-")</f>
        <v>-</v>
      </c>
      <c r="N136" s="12">
        <f>IFERROR(VLOOKUP(F136,$P:$R,3,1),0)</f>
        <v>50000</v>
      </c>
    </row>
    <row r="137" spans="2:14">
      <c r="B137" s="9">
        <v>132</v>
      </c>
      <c r="C137" s="10" t="s">
        <v>131</v>
      </c>
      <c r="D137" s="10" t="s">
        <v>320</v>
      </c>
      <c r="E137" s="58">
        <v>31804789</v>
      </c>
      <c r="F137" s="39">
        <v>2</v>
      </c>
      <c r="G137" s="42" t="str">
        <f>IF(IFERROR(VLOOKUP($F137,$P:$P,1,1),0)&gt;=G$2,"o","-")</f>
        <v>o</v>
      </c>
      <c r="H137" s="43" t="str">
        <f>IF(IFERROR(VLOOKUP($F137,$P:$P,1,1),0)&gt;=H$2,"o","-")</f>
        <v>-</v>
      </c>
      <c r="I137" s="43" t="str">
        <f>IF(IFERROR(VLOOKUP($F137,$P:$P,1,1),0)&gt;=I$2,"o","-")</f>
        <v>-</v>
      </c>
      <c r="J137" s="43" t="str">
        <f>IF(IFERROR(VLOOKUP($F137,$P:$P,1,1),0)&gt;=J$2,"o","-")</f>
        <v>-</v>
      </c>
      <c r="K137" s="43" t="str">
        <f>IF(IFERROR(VLOOKUP($F137,$P:$P,1,1),0)&gt;=K$2,"o","-")</f>
        <v>-</v>
      </c>
      <c r="L137" s="43" t="str">
        <f>IF(IFERROR(VLOOKUP($F137,$P:$P,1,1),0)&gt;=L$2,"o","-")</f>
        <v>-</v>
      </c>
      <c r="M137" s="43" t="str">
        <f>IF(IFERROR(VLOOKUP($F137,$P:$P,1,1),0)&gt;=M$2,"o","-")</f>
        <v>-</v>
      </c>
      <c r="N137" s="12">
        <f>IFERROR(VLOOKUP(F137,$P:$R,3,1),0)</f>
        <v>50000</v>
      </c>
    </row>
    <row r="138" spans="2:14">
      <c r="B138" s="9">
        <v>133</v>
      </c>
      <c r="C138" s="10" t="s">
        <v>132</v>
      </c>
      <c r="D138" s="10" t="s">
        <v>321</v>
      </c>
      <c r="E138" s="58">
        <v>31301183</v>
      </c>
      <c r="F138" s="39">
        <v>2</v>
      </c>
      <c r="G138" s="42" t="str">
        <f>IF(IFERROR(VLOOKUP($F138,$P:$P,1,1),0)&gt;=G$2,"o","-")</f>
        <v>o</v>
      </c>
      <c r="H138" s="43" t="str">
        <f>IF(IFERROR(VLOOKUP($F138,$P:$P,1,1),0)&gt;=H$2,"o","-")</f>
        <v>-</v>
      </c>
      <c r="I138" s="43" t="str">
        <f>IF(IFERROR(VLOOKUP($F138,$P:$P,1,1),0)&gt;=I$2,"o","-")</f>
        <v>-</v>
      </c>
      <c r="J138" s="43" t="str">
        <f>IF(IFERROR(VLOOKUP($F138,$P:$P,1,1),0)&gt;=J$2,"o","-")</f>
        <v>-</v>
      </c>
      <c r="K138" s="43" t="str">
        <f>IF(IFERROR(VLOOKUP($F138,$P:$P,1,1),0)&gt;=K$2,"o","-")</f>
        <v>-</v>
      </c>
      <c r="L138" s="43" t="str">
        <f>IF(IFERROR(VLOOKUP($F138,$P:$P,1,1),0)&gt;=L$2,"o","-")</f>
        <v>-</v>
      </c>
      <c r="M138" s="43" t="str">
        <f>IF(IFERROR(VLOOKUP($F138,$P:$P,1,1),0)&gt;=M$2,"o","-")</f>
        <v>-</v>
      </c>
      <c r="N138" s="12">
        <f>IFERROR(VLOOKUP(F138,$P:$R,3,1),0)</f>
        <v>50000</v>
      </c>
    </row>
    <row r="139" spans="2:14">
      <c r="B139" s="9">
        <v>134</v>
      </c>
      <c r="C139" s="10" t="s">
        <v>133</v>
      </c>
      <c r="D139" s="10" t="s">
        <v>322</v>
      </c>
      <c r="E139" s="58">
        <v>32001392</v>
      </c>
      <c r="F139" s="39">
        <v>2</v>
      </c>
      <c r="G139" s="42" t="str">
        <f>IF(IFERROR(VLOOKUP($F139,$P:$P,1,1),0)&gt;=G$2,"o","-")</f>
        <v>o</v>
      </c>
      <c r="H139" s="43" t="str">
        <f>IF(IFERROR(VLOOKUP($F139,$P:$P,1,1),0)&gt;=H$2,"o","-")</f>
        <v>-</v>
      </c>
      <c r="I139" s="43" t="str">
        <f>IF(IFERROR(VLOOKUP($F139,$P:$P,1,1),0)&gt;=I$2,"o","-")</f>
        <v>-</v>
      </c>
      <c r="J139" s="43" t="str">
        <f>IF(IFERROR(VLOOKUP($F139,$P:$P,1,1),0)&gt;=J$2,"o","-")</f>
        <v>-</v>
      </c>
      <c r="K139" s="43" t="str">
        <f>IF(IFERROR(VLOOKUP($F139,$P:$P,1,1),0)&gt;=K$2,"o","-")</f>
        <v>-</v>
      </c>
      <c r="L139" s="43" t="str">
        <f>IF(IFERROR(VLOOKUP($F139,$P:$P,1,1),0)&gt;=L$2,"o","-")</f>
        <v>-</v>
      </c>
      <c r="M139" s="43" t="str">
        <f>IF(IFERROR(VLOOKUP($F139,$P:$P,1,1),0)&gt;=M$2,"o","-")</f>
        <v>-</v>
      </c>
      <c r="N139" s="12">
        <f>IFERROR(VLOOKUP(F139,$P:$R,3,1),0)</f>
        <v>50000</v>
      </c>
    </row>
    <row r="140" spans="2:14">
      <c r="B140" s="9">
        <v>135</v>
      </c>
      <c r="C140" s="10" t="s">
        <v>134</v>
      </c>
      <c r="D140" s="10" t="s">
        <v>323</v>
      </c>
      <c r="E140" s="58">
        <v>41308789</v>
      </c>
      <c r="F140" s="39">
        <v>2</v>
      </c>
      <c r="G140" s="42" t="str">
        <f>IF(IFERROR(VLOOKUP($F140,$P:$P,1,1),0)&gt;=G$2,"o","-")</f>
        <v>o</v>
      </c>
      <c r="H140" s="43" t="str">
        <f>IF(IFERROR(VLOOKUP($F140,$P:$P,1,1),0)&gt;=H$2,"o","-")</f>
        <v>-</v>
      </c>
      <c r="I140" s="43" t="str">
        <f>IF(IFERROR(VLOOKUP($F140,$P:$P,1,1),0)&gt;=I$2,"o","-")</f>
        <v>-</v>
      </c>
      <c r="J140" s="43" t="str">
        <f>IF(IFERROR(VLOOKUP($F140,$P:$P,1,1),0)&gt;=J$2,"o","-")</f>
        <v>-</v>
      </c>
      <c r="K140" s="43" t="str">
        <f>IF(IFERROR(VLOOKUP($F140,$P:$P,1,1),0)&gt;=K$2,"o","-")</f>
        <v>-</v>
      </c>
      <c r="L140" s="43" t="str">
        <f>IF(IFERROR(VLOOKUP($F140,$P:$P,1,1),0)&gt;=L$2,"o","-")</f>
        <v>-</v>
      </c>
      <c r="M140" s="43" t="str">
        <f>IF(IFERROR(VLOOKUP($F140,$P:$P,1,1),0)&gt;=M$2,"o","-")</f>
        <v>-</v>
      </c>
      <c r="N140" s="12">
        <f>IFERROR(VLOOKUP(F140,$P:$R,3,1),0)</f>
        <v>50000</v>
      </c>
    </row>
    <row r="141" spans="2:14">
      <c r="B141" s="9">
        <v>136</v>
      </c>
      <c r="C141" s="10" t="s">
        <v>135</v>
      </c>
      <c r="D141" s="10" t="s">
        <v>324</v>
      </c>
      <c r="E141" s="58">
        <v>32001284</v>
      </c>
      <c r="F141" s="39">
        <v>2</v>
      </c>
      <c r="G141" s="42" t="str">
        <f>IF(IFERROR(VLOOKUP($F141,$P:$P,1,1),0)&gt;=G$2,"o","-")</f>
        <v>o</v>
      </c>
      <c r="H141" s="43" t="str">
        <f>IF(IFERROR(VLOOKUP($F141,$P:$P,1,1),0)&gt;=H$2,"o","-")</f>
        <v>-</v>
      </c>
      <c r="I141" s="43" t="str">
        <f>IF(IFERROR(VLOOKUP($F141,$P:$P,1,1),0)&gt;=I$2,"o","-")</f>
        <v>-</v>
      </c>
      <c r="J141" s="43" t="str">
        <f>IF(IFERROR(VLOOKUP($F141,$P:$P,1,1),0)&gt;=J$2,"o","-")</f>
        <v>-</v>
      </c>
      <c r="K141" s="43" t="str">
        <f>IF(IFERROR(VLOOKUP($F141,$P:$P,1,1),0)&gt;=K$2,"o","-")</f>
        <v>-</v>
      </c>
      <c r="L141" s="43" t="str">
        <f>IF(IFERROR(VLOOKUP($F141,$P:$P,1,1),0)&gt;=L$2,"o","-")</f>
        <v>-</v>
      </c>
      <c r="M141" s="43" t="str">
        <f>IF(IFERROR(VLOOKUP($F141,$P:$P,1,1),0)&gt;=M$2,"o","-")</f>
        <v>-</v>
      </c>
      <c r="N141" s="12">
        <f>IFERROR(VLOOKUP(F141,$P:$R,3,1),0)</f>
        <v>50000</v>
      </c>
    </row>
    <row r="142" spans="2:14">
      <c r="B142" s="9">
        <v>137</v>
      </c>
      <c r="C142" s="10" t="s">
        <v>136</v>
      </c>
      <c r="D142" s="10" t="s">
        <v>325</v>
      </c>
      <c r="E142" s="58">
        <v>41300228</v>
      </c>
      <c r="F142" s="39">
        <v>2</v>
      </c>
      <c r="G142" s="42" t="str">
        <f>IF(IFERROR(VLOOKUP($F142,$P:$P,1,1),0)&gt;=G$2,"o","-")</f>
        <v>o</v>
      </c>
      <c r="H142" s="43" t="str">
        <f>IF(IFERROR(VLOOKUP($F142,$P:$P,1,1),0)&gt;=H$2,"o","-")</f>
        <v>-</v>
      </c>
      <c r="I142" s="43" t="str">
        <f>IF(IFERROR(VLOOKUP($F142,$P:$P,1,1),0)&gt;=I$2,"o","-")</f>
        <v>-</v>
      </c>
      <c r="J142" s="43" t="str">
        <f>IF(IFERROR(VLOOKUP($F142,$P:$P,1,1),0)&gt;=J$2,"o","-")</f>
        <v>-</v>
      </c>
      <c r="K142" s="43" t="str">
        <f>IF(IFERROR(VLOOKUP($F142,$P:$P,1,1),0)&gt;=K$2,"o","-")</f>
        <v>-</v>
      </c>
      <c r="L142" s="43" t="str">
        <f>IF(IFERROR(VLOOKUP($F142,$P:$P,1,1),0)&gt;=L$2,"o","-")</f>
        <v>-</v>
      </c>
      <c r="M142" s="43" t="str">
        <f>IF(IFERROR(VLOOKUP($F142,$P:$P,1,1),0)&gt;=M$2,"o","-")</f>
        <v>-</v>
      </c>
      <c r="N142" s="12">
        <f>IFERROR(VLOOKUP(F142,$P:$R,3,1),0)</f>
        <v>50000</v>
      </c>
    </row>
    <row r="143" spans="2:14">
      <c r="B143" s="9">
        <v>138</v>
      </c>
      <c r="C143" s="10" t="s">
        <v>137</v>
      </c>
      <c r="D143" s="10" t="s">
        <v>326</v>
      </c>
      <c r="E143" s="58">
        <v>41303324</v>
      </c>
      <c r="F143" s="39">
        <v>2</v>
      </c>
      <c r="G143" s="42" t="str">
        <f>IF(IFERROR(VLOOKUP($F143,$P:$P,1,1),0)&gt;=G$2,"o","-")</f>
        <v>o</v>
      </c>
      <c r="H143" s="43" t="str">
        <f>IF(IFERROR(VLOOKUP($F143,$P:$P,1,1),0)&gt;=H$2,"o","-")</f>
        <v>-</v>
      </c>
      <c r="I143" s="43" t="str">
        <f>IF(IFERROR(VLOOKUP($F143,$P:$P,1,1),0)&gt;=I$2,"o","-")</f>
        <v>-</v>
      </c>
      <c r="J143" s="43" t="str">
        <f>IF(IFERROR(VLOOKUP($F143,$P:$P,1,1),0)&gt;=J$2,"o","-")</f>
        <v>-</v>
      </c>
      <c r="K143" s="43" t="str">
        <f>IF(IFERROR(VLOOKUP($F143,$P:$P,1,1),0)&gt;=K$2,"o","-")</f>
        <v>-</v>
      </c>
      <c r="L143" s="43" t="str">
        <f>IF(IFERROR(VLOOKUP($F143,$P:$P,1,1),0)&gt;=L$2,"o","-")</f>
        <v>-</v>
      </c>
      <c r="M143" s="43" t="str">
        <f>IF(IFERROR(VLOOKUP($F143,$P:$P,1,1),0)&gt;=M$2,"o","-")</f>
        <v>-</v>
      </c>
      <c r="N143" s="12">
        <f>IFERROR(VLOOKUP(F143,$P:$R,3,1),0)</f>
        <v>50000</v>
      </c>
    </row>
    <row r="144" spans="2:14">
      <c r="B144" s="9">
        <v>139</v>
      </c>
      <c r="C144" s="10" t="s">
        <v>138</v>
      </c>
      <c r="D144" s="10" t="s">
        <v>327</v>
      </c>
      <c r="E144" s="58">
        <v>31801106</v>
      </c>
      <c r="F144" s="39">
        <v>2</v>
      </c>
      <c r="G144" s="42" t="str">
        <f>IF(IFERROR(VLOOKUP($F144,$P:$P,1,1),0)&gt;=G$2,"o","-")</f>
        <v>o</v>
      </c>
      <c r="H144" s="43" t="str">
        <f>IF(IFERROR(VLOOKUP($F144,$P:$P,1,1),0)&gt;=H$2,"o","-")</f>
        <v>-</v>
      </c>
      <c r="I144" s="43" t="str">
        <f>IF(IFERROR(VLOOKUP($F144,$P:$P,1,1),0)&gt;=I$2,"o","-")</f>
        <v>-</v>
      </c>
      <c r="J144" s="43" t="str">
        <f>IF(IFERROR(VLOOKUP($F144,$P:$P,1,1),0)&gt;=J$2,"o","-")</f>
        <v>-</v>
      </c>
      <c r="K144" s="43" t="str">
        <f>IF(IFERROR(VLOOKUP($F144,$P:$P,1,1),0)&gt;=K$2,"o","-")</f>
        <v>-</v>
      </c>
      <c r="L144" s="43" t="str">
        <f>IF(IFERROR(VLOOKUP($F144,$P:$P,1,1),0)&gt;=L$2,"o","-")</f>
        <v>-</v>
      </c>
      <c r="M144" s="43" t="str">
        <f>IF(IFERROR(VLOOKUP($F144,$P:$P,1,1),0)&gt;=M$2,"o","-")</f>
        <v>-</v>
      </c>
      <c r="N144" s="12">
        <f>IFERROR(VLOOKUP(F144,$P:$R,3,1),0)</f>
        <v>50000</v>
      </c>
    </row>
    <row r="145" spans="2:14">
      <c r="B145" s="9">
        <v>140</v>
      </c>
      <c r="C145" s="10" t="s">
        <v>139</v>
      </c>
      <c r="D145" s="10" t="s">
        <v>328</v>
      </c>
      <c r="E145" s="58">
        <v>41306132</v>
      </c>
      <c r="F145" s="39">
        <v>2</v>
      </c>
      <c r="G145" s="42" t="str">
        <f>IF(IFERROR(VLOOKUP($F145,$P:$P,1,1),0)&gt;=G$2,"o","-")</f>
        <v>o</v>
      </c>
      <c r="H145" s="43" t="str">
        <f>IF(IFERROR(VLOOKUP($F145,$P:$P,1,1),0)&gt;=H$2,"o","-")</f>
        <v>-</v>
      </c>
      <c r="I145" s="43" t="str">
        <f>IF(IFERROR(VLOOKUP($F145,$P:$P,1,1),0)&gt;=I$2,"o","-")</f>
        <v>-</v>
      </c>
      <c r="J145" s="43" t="str">
        <f>IF(IFERROR(VLOOKUP($F145,$P:$P,1,1),0)&gt;=J$2,"o","-")</f>
        <v>-</v>
      </c>
      <c r="K145" s="43" t="str">
        <f>IF(IFERROR(VLOOKUP($F145,$P:$P,1,1),0)&gt;=K$2,"o","-")</f>
        <v>-</v>
      </c>
      <c r="L145" s="43" t="str">
        <f>IF(IFERROR(VLOOKUP($F145,$P:$P,1,1),0)&gt;=L$2,"o","-")</f>
        <v>-</v>
      </c>
      <c r="M145" s="43" t="str">
        <f>IF(IFERROR(VLOOKUP($F145,$P:$P,1,1),0)&gt;=M$2,"o","-")</f>
        <v>-</v>
      </c>
      <c r="N145" s="12">
        <f>IFERROR(VLOOKUP(F145,$P:$R,3,1),0)</f>
        <v>50000</v>
      </c>
    </row>
    <row r="146" spans="2:14">
      <c r="B146" s="9">
        <v>141</v>
      </c>
      <c r="C146" s="10" t="s">
        <v>140</v>
      </c>
      <c r="D146" s="10" t="s">
        <v>329</v>
      </c>
      <c r="E146" s="58">
        <v>40711719</v>
      </c>
      <c r="F146" s="39">
        <v>2</v>
      </c>
      <c r="G146" s="42" t="str">
        <f>IF(IFERROR(VLOOKUP($F146,$P:$P,1,1),0)&gt;=G$2,"o","-")</f>
        <v>o</v>
      </c>
      <c r="H146" s="43" t="str">
        <f>IF(IFERROR(VLOOKUP($F146,$P:$P,1,1),0)&gt;=H$2,"o","-")</f>
        <v>-</v>
      </c>
      <c r="I146" s="43" t="str">
        <f>IF(IFERROR(VLOOKUP($F146,$P:$P,1,1),0)&gt;=I$2,"o","-")</f>
        <v>-</v>
      </c>
      <c r="J146" s="43" t="str">
        <f>IF(IFERROR(VLOOKUP($F146,$P:$P,1,1),0)&gt;=J$2,"o","-")</f>
        <v>-</v>
      </c>
      <c r="K146" s="43" t="str">
        <f>IF(IFERROR(VLOOKUP($F146,$P:$P,1,1),0)&gt;=K$2,"o","-")</f>
        <v>-</v>
      </c>
      <c r="L146" s="43" t="str">
        <f>IF(IFERROR(VLOOKUP($F146,$P:$P,1,1),0)&gt;=L$2,"o","-")</f>
        <v>-</v>
      </c>
      <c r="M146" s="43" t="str">
        <f>IF(IFERROR(VLOOKUP($F146,$P:$P,1,1),0)&gt;=M$2,"o","-")</f>
        <v>-</v>
      </c>
      <c r="N146" s="12">
        <f>IFERROR(VLOOKUP(F146,$P:$R,3,1),0)</f>
        <v>50000</v>
      </c>
    </row>
    <row r="147" spans="2:14">
      <c r="B147" s="9">
        <v>142</v>
      </c>
      <c r="C147" s="10" t="s">
        <v>141</v>
      </c>
      <c r="D147" s="10" t="s">
        <v>330</v>
      </c>
      <c r="E147" s="58">
        <v>42302658</v>
      </c>
      <c r="F147" s="39">
        <v>2</v>
      </c>
      <c r="G147" s="42" t="str">
        <f>IF(IFERROR(VLOOKUP($F147,$P:$P,1,1),0)&gt;=G$2,"o","-")</f>
        <v>o</v>
      </c>
      <c r="H147" s="43" t="str">
        <f>IF(IFERROR(VLOOKUP($F147,$P:$P,1,1),0)&gt;=H$2,"o","-")</f>
        <v>-</v>
      </c>
      <c r="I147" s="43" t="str">
        <f>IF(IFERROR(VLOOKUP($F147,$P:$P,1,1),0)&gt;=I$2,"o","-")</f>
        <v>-</v>
      </c>
      <c r="J147" s="43" t="str">
        <f>IF(IFERROR(VLOOKUP($F147,$P:$P,1,1),0)&gt;=J$2,"o","-")</f>
        <v>-</v>
      </c>
      <c r="K147" s="43" t="str">
        <f>IF(IFERROR(VLOOKUP($F147,$P:$P,1,1),0)&gt;=K$2,"o","-")</f>
        <v>-</v>
      </c>
      <c r="L147" s="43" t="str">
        <f>IF(IFERROR(VLOOKUP($F147,$P:$P,1,1),0)&gt;=L$2,"o","-")</f>
        <v>-</v>
      </c>
      <c r="M147" s="43" t="str">
        <f>IF(IFERROR(VLOOKUP($F147,$P:$P,1,1),0)&gt;=M$2,"o","-")</f>
        <v>-</v>
      </c>
      <c r="N147" s="12">
        <f>IFERROR(VLOOKUP(F147,$P:$R,3,1),0)</f>
        <v>50000</v>
      </c>
    </row>
    <row r="148" spans="2:14">
      <c r="B148" s="9">
        <v>143</v>
      </c>
      <c r="C148" s="10" t="s">
        <v>142</v>
      </c>
      <c r="D148" s="10" t="s">
        <v>331</v>
      </c>
      <c r="E148" s="58">
        <v>32303261</v>
      </c>
      <c r="F148" s="39">
        <v>2</v>
      </c>
      <c r="G148" s="42" t="str">
        <f>IF(IFERROR(VLOOKUP($F148,$P:$P,1,1),0)&gt;=G$2,"o","-")</f>
        <v>o</v>
      </c>
      <c r="H148" s="43" t="str">
        <f>IF(IFERROR(VLOOKUP($F148,$P:$P,1,1),0)&gt;=H$2,"o","-")</f>
        <v>-</v>
      </c>
      <c r="I148" s="43" t="str">
        <f>IF(IFERROR(VLOOKUP($F148,$P:$P,1,1),0)&gt;=I$2,"o","-")</f>
        <v>-</v>
      </c>
      <c r="J148" s="43" t="str">
        <f>IF(IFERROR(VLOOKUP($F148,$P:$P,1,1),0)&gt;=J$2,"o","-")</f>
        <v>-</v>
      </c>
      <c r="K148" s="43" t="str">
        <f>IF(IFERROR(VLOOKUP($F148,$P:$P,1,1),0)&gt;=K$2,"o","-")</f>
        <v>-</v>
      </c>
      <c r="L148" s="43" t="str">
        <f>IF(IFERROR(VLOOKUP($F148,$P:$P,1,1),0)&gt;=L$2,"o","-")</f>
        <v>-</v>
      </c>
      <c r="M148" s="43" t="str">
        <f>IF(IFERROR(VLOOKUP($F148,$P:$P,1,1),0)&gt;=M$2,"o","-")</f>
        <v>-</v>
      </c>
      <c r="N148" s="12">
        <f>IFERROR(VLOOKUP(F148,$P:$R,3,1),0)</f>
        <v>50000</v>
      </c>
    </row>
    <row r="149" spans="2:14">
      <c r="B149" s="9">
        <v>144</v>
      </c>
      <c r="C149" s="10" t="s">
        <v>143</v>
      </c>
      <c r="D149" s="10" t="s">
        <v>332</v>
      </c>
      <c r="E149" s="58">
        <v>41506941</v>
      </c>
      <c r="F149" s="39">
        <v>2</v>
      </c>
      <c r="G149" s="42" t="str">
        <f>IF(IFERROR(VLOOKUP($F149,$P:$P,1,1),0)&gt;=G$2,"o","-")</f>
        <v>o</v>
      </c>
      <c r="H149" s="43" t="str">
        <f>IF(IFERROR(VLOOKUP($F149,$P:$P,1,1),0)&gt;=H$2,"o","-")</f>
        <v>-</v>
      </c>
      <c r="I149" s="43" t="str">
        <f>IF(IFERROR(VLOOKUP($F149,$P:$P,1,1),0)&gt;=I$2,"o","-")</f>
        <v>-</v>
      </c>
      <c r="J149" s="43" t="str">
        <f>IF(IFERROR(VLOOKUP($F149,$P:$P,1,1),0)&gt;=J$2,"o","-")</f>
        <v>-</v>
      </c>
      <c r="K149" s="43" t="str">
        <f>IF(IFERROR(VLOOKUP($F149,$P:$P,1,1),0)&gt;=K$2,"o","-")</f>
        <v>-</v>
      </c>
      <c r="L149" s="43" t="str">
        <f>IF(IFERROR(VLOOKUP($F149,$P:$P,1,1),0)&gt;=L$2,"o","-")</f>
        <v>-</v>
      </c>
      <c r="M149" s="43" t="str">
        <f>IF(IFERROR(VLOOKUP($F149,$P:$P,1,1),0)&gt;=M$2,"o","-")</f>
        <v>-</v>
      </c>
      <c r="N149" s="12">
        <f>IFERROR(VLOOKUP(F149,$P:$R,3,1),0)</f>
        <v>50000</v>
      </c>
    </row>
    <row r="150" spans="2:14">
      <c r="B150" s="9">
        <v>145</v>
      </c>
      <c r="C150" s="10" t="s">
        <v>144</v>
      </c>
      <c r="D150" s="10" t="s">
        <v>333</v>
      </c>
      <c r="E150" s="58">
        <v>40731852</v>
      </c>
      <c r="F150" s="39">
        <v>2</v>
      </c>
      <c r="G150" s="42" t="str">
        <f>IF(IFERROR(VLOOKUP($F150,$P:$P,1,1),0)&gt;=G$2,"o","-")</f>
        <v>o</v>
      </c>
      <c r="H150" s="43" t="str">
        <f>IF(IFERROR(VLOOKUP($F150,$P:$P,1,1),0)&gt;=H$2,"o","-")</f>
        <v>-</v>
      </c>
      <c r="I150" s="43" t="str">
        <f>IF(IFERROR(VLOOKUP($F150,$P:$P,1,1),0)&gt;=I$2,"o","-")</f>
        <v>-</v>
      </c>
      <c r="J150" s="43" t="str">
        <f>IF(IFERROR(VLOOKUP($F150,$P:$P,1,1),0)&gt;=J$2,"o","-")</f>
        <v>-</v>
      </c>
      <c r="K150" s="43" t="str">
        <f>IF(IFERROR(VLOOKUP($F150,$P:$P,1,1),0)&gt;=K$2,"o","-")</f>
        <v>-</v>
      </c>
      <c r="L150" s="43" t="str">
        <f>IF(IFERROR(VLOOKUP($F150,$P:$P,1,1),0)&gt;=L$2,"o","-")</f>
        <v>-</v>
      </c>
      <c r="M150" s="43" t="str">
        <f>IF(IFERROR(VLOOKUP($F150,$P:$P,1,1),0)&gt;=M$2,"o","-")</f>
        <v>-</v>
      </c>
      <c r="N150" s="12">
        <f>IFERROR(VLOOKUP(F150,$P:$R,3,1),0)</f>
        <v>50000</v>
      </c>
    </row>
    <row r="151" spans="2:14">
      <c r="B151" s="9">
        <v>146</v>
      </c>
      <c r="C151" s="10" t="s">
        <v>145</v>
      </c>
      <c r="D151" s="10" t="s">
        <v>334</v>
      </c>
      <c r="E151" s="58">
        <v>31800594</v>
      </c>
      <c r="F151" s="39">
        <v>2</v>
      </c>
      <c r="G151" s="42" t="str">
        <f>IF(IFERROR(VLOOKUP($F151,$P:$P,1,1),0)&gt;=G$2,"o","-")</f>
        <v>o</v>
      </c>
      <c r="H151" s="43" t="str">
        <f>IF(IFERROR(VLOOKUP($F151,$P:$P,1,1),0)&gt;=H$2,"o","-")</f>
        <v>-</v>
      </c>
      <c r="I151" s="43" t="str">
        <f>IF(IFERROR(VLOOKUP($F151,$P:$P,1,1),0)&gt;=I$2,"o","-")</f>
        <v>-</v>
      </c>
      <c r="J151" s="43" t="str">
        <f>IF(IFERROR(VLOOKUP($F151,$P:$P,1,1),0)&gt;=J$2,"o","-")</f>
        <v>-</v>
      </c>
      <c r="K151" s="43" t="str">
        <f>IF(IFERROR(VLOOKUP($F151,$P:$P,1,1),0)&gt;=K$2,"o","-")</f>
        <v>-</v>
      </c>
      <c r="L151" s="43" t="str">
        <f>IF(IFERROR(VLOOKUP($F151,$P:$P,1,1),0)&gt;=L$2,"o","-")</f>
        <v>-</v>
      </c>
      <c r="M151" s="43" t="str">
        <f>IF(IFERROR(VLOOKUP($F151,$P:$P,1,1),0)&gt;=M$2,"o","-")</f>
        <v>-</v>
      </c>
      <c r="N151" s="12">
        <f>IFERROR(VLOOKUP(F151,$P:$R,3,1),0)</f>
        <v>50000</v>
      </c>
    </row>
    <row r="152" spans="2:14">
      <c r="B152" s="9">
        <v>147</v>
      </c>
      <c r="C152" s="10" t="s">
        <v>146</v>
      </c>
      <c r="D152" s="10" t="s">
        <v>335</v>
      </c>
      <c r="E152" s="58">
        <v>31800648</v>
      </c>
      <c r="F152" s="39">
        <v>2</v>
      </c>
      <c r="G152" s="42" t="str">
        <f>IF(IFERROR(VLOOKUP($F152,$P:$P,1,1),0)&gt;=G$2,"o","-")</f>
        <v>o</v>
      </c>
      <c r="H152" s="43" t="str">
        <f>IF(IFERROR(VLOOKUP($F152,$P:$P,1,1),0)&gt;=H$2,"o","-")</f>
        <v>-</v>
      </c>
      <c r="I152" s="43" t="str">
        <f>IF(IFERROR(VLOOKUP($F152,$P:$P,1,1),0)&gt;=I$2,"o","-")</f>
        <v>-</v>
      </c>
      <c r="J152" s="43" t="str">
        <f>IF(IFERROR(VLOOKUP($F152,$P:$P,1,1),0)&gt;=J$2,"o","-")</f>
        <v>-</v>
      </c>
      <c r="K152" s="43" t="str">
        <f>IF(IFERROR(VLOOKUP($F152,$P:$P,1,1),0)&gt;=K$2,"o","-")</f>
        <v>-</v>
      </c>
      <c r="L152" s="43" t="str">
        <f>IF(IFERROR(VLOOKUP($F152,$P:$P,1,1),0)&gt;=L$2,"o","-")</f>
        <v>-</v>
      </c>
      <c r="M152" s="43" t="str">
        <f>IF(IFERROR(VLOOKUP($F152,$P:$P,1,1),0)&gt;=M$2,"o","-")</f>
        <v>-</v>
      </c>
      <c r="N152" s="12">
        <f>IFERROR(VLOOKUP(F152,$P:$R,3,1),0)</f>
        <v>50000</v>
      </c>
    </row>
    <row r="153" spans="2:14">
      <c r="B153" s="9">
        <v>148</v>
      </c>
      <c r="C153" s="10" t="s">
        <v>147</v>
      </c>
      <c r="D153" s="10" t="s">
        <v>336</v>
      </c>
      <c r="E153" s="58">
        <v>32500064</v>
      </c>
      <c r="F153" s="39">
        <v>2</v>
      </c>
      <c r="G153" s="42" t="str">
        <f>IF(IFERROR(VLOOKUP($F153,$P:$P,1,1),0)&gt;=G$2,"o","-")</f>
        <v>o</v>
      </c>
      <c r="H153" s="43" t="str">
        <f>IF(IFERROR(VLOOKUP($F153,$P:$P,1,1),0)&gt;=H$2,"o","-")</f>
        <v>-</v>
      </c>
      <c r="I153" s="43" t="str">
        <f>IF(IFERROR(VLOOKUP($F153,$P:$P,1,1),0)&gt;=I$2,"o","-")</f>
        <v>-</v>
      </c>
      <c r="J153" s="43" t="str">
        <f>IF(IFERROR(VLOOKUP($F153,$P:$P,1,1),0)&gt;=J$2,"o","-")</f>
        <v>-</v>
      </c>
      <c r="K153" s="43" t="str">
        <f>IF(IFERROR(VLOOKUP($F153,$P:$P,1,1),0)&gt;=K$2,"o","-")</f>
        <v>-</v>
      </c>
      <c r="L153" s="43" t="str">
        <f>IF(IFERROR(VLOOKUP($F153,$P:$P,1,1),0)&gt;=L$2,"o","-")</f>
        <v>-</v>
      </c>
      <c r="M153" s="43" t="str">
        <f>IF(IFERROR(VLOOKUP($F153,$P:$P,1,1),0)&gt;=M$2,"o","-")</f>
        <v>-</v>
      </c>
      <c r="N153" s="12">
        <f>IFERROR(VLOOKUP(F153,$P:$R,3,1),0)</f>
        <v>50000</v>
      </c>
    </row>
    <row r="154" spans="2:14">
      <c r="B154" s="9">
        <v>149</v>
      </c>
      <c r="C154" s="10" t="s">
        <v>148</v>
      </c>
      <c r="D154" s="10" t="s">
        <v>337</v>
      </c>
      <c r="E154" s="58">
        <v>42404259</v>
      </c>
      <c r="F154" s="39">
        <v>2</v>
      </c>
      <c r="G154" s="42" t="str">
        <f>IF(IFERROR(VLOOKUP($F154,$P:$P,1,1),0)&gt;=G$2,"o","-")</f>
        <v>o</v>
      </c>
      <c r="H154" s="43" t="str">
        <f>IF(IFERROR(VLOOKUP($F154,$P:$P,1,1),0)&gt;=H$2,"o","-")</f>
        <v>-</v>
      </c>
      <c r="I154" s="43" t="str">
        <f>IF(IFERROR(VLOOKUP($F154,$P:$P,1,1),0)&gt;=I$2,"o","-")</f>
        <v>-</v>
      </c>
      <c r="J154" s="43" t="str">
        <f>IF(IFERROR(VLOOKUP($F154,$P:$P,1,1),0)&gt;=J$2,"o","-")</f>
        <v>-</v>
      </c>
      <c r="K154" s="43" t="str">
        <f>IF(IFERROR(VLOOKUP($F154,$P:$P,1,1),0)&gt;=K$2,"o","-")</f>
        <v>-</v>
      </c>
      <c r="L154" s="43" t="str">
        <f>IF(IFERROR(VLOOKUP($F154,$P:$P,1,1),0)&gt;=L$2,"o","-")</f>
        <v>-</v>
      </c>
      <c r="M154" s="43" t="str">
        <f>IF(IFERROR(VLOOKUP($F154,$P:$P,1,1),0)&gt;=M$2,"o","-")</f>
        <v>-</v>
      </c>
      <c r="N154" s="12">
        <f>IFERROR(VLOOKUP(F154,$P:$R,3,1),0)</f>
        <v>50000</v>
      </c>
    </row>
    <row r="155" spans="2:14">
      <c r="B155" s="9">
        <v>150</v>
      </c>
      <c r="C155" s="10" t="s">
        <v>149</v>
      </c>
      <c r="D155" s="10" t="s">
        <v>338</v>
      </c>
      <c r="E155" s="58">
        <v>32409011</v>
      </c>
      <c r="F155" s="39">
        <v>2</v>
      </c>
      <c r="G155" s="42" t="str">
        <f>IF(IFERROR(VLOOKUP($F155,$P:$P,1,1),0)&gt;=G$2,"o","-")</f>
        <v>o</v>
      </c>
      <c r="H155" s="43" t="str">
        <f>IF(IFERROR(VLOOKUP($F155,$P:$P,1,1),0)&gt;=H$2,"o","-")</f>
        <v>-</v>
      </c>
      <c r="I155" s="43" t="str">
        <f>IF(IFERROR(VLOOKUP($F155,$P:$P,1,1),0)&gt;=I$2,"o","-")</f>
        <v>-</v>
      </c>
      <c r="J155" s="43" t="str">
        <f>IF(IFERROR(VLOOKUP($F155,$P:$P,1,1),0)&gt;=J$2,"o","-")</f>
        <v>-</v>
      </c>
      <c r="K155" s="43" t="str">
        <f>IF(IFERROR(VLOOKUP($F155,$P:$P,1,1),0)&gt;=K$2,"o","-")</f>
        <v>-</v>
      </c>
      <c r="L155" s="43" t="str">
        <f>IF(IFERROR(VLOOKUP($F155,$P:$P,1,1),0)&gt;=L$2,"o","-")</f>
        <v>-</v>
      </c>
      <c r="M155" s="43" t="str">
        <f>IF(IFERROR(VLOOKUP($F155,$P:$P,1,1),0)&gt;=M$2,"o","-")</f>
        <v>-</v>
      </c>
      <c r="N155" s="12">
        <f>IFERROR(VLOOKUP(F155,$P:$R,3,1),0)</f>
        <v>50000</v>
      </c>
    </row>
    <row r="156" spans="2:14">
      <c r="B156" s="9">
        <v>151</v>
      </c>
      <c r="C156" s="10" t="s">
        <v>150</v>
      </c>
      <c r="D156" s="10" t="s">
        <v>339</v>
      </c>
      <c r="E156" s="58">
        <v>31902744</v>
      </c>
      <c r="F156" s="39">
        <v>2</v>
      </c>
      <c r="G156" s="42" t="str">
        <f>IF(IFERROR(VLOOKUP($F156,$P:$P,1,1),0)&gt;=G$2,"o","-")</f>
        <v>o</v>
      </c>
      <c r="H156" s="43" t="str">
        <f>IF(IFERROR(VLOOKUP($F156,$P:$P,1,1),0)&gt;=H$2,"o","-")</f>
        <v>-</v>
      </c>
      <c r="I156" s="43" t="str">
        <f>IF(IFERROR(VLOOKUP($F156,$P:$P,1,1),0)&gt;=I$2,"o","-")</f>
        <v>-</v>
      </c>
      <c r="J156" s="43" t="str">
        <f>IF(IFERROR(VLOOKUP($F156,$P:$P,1,1),0)&gt;=J$2,"o","-")</f>
        <v>-</v>
      </c>
      <c r="K156" s="43" t="str">
        <f>IF(IFERROR(VLOOKUP($F156,$P:$P,1,1),0)&gt;=K$2,"o","-")</f>
        <v>-</v>
      </c>
      <c r="L156" s="43" t="str">
        <f>IF(IFERROR(VLOOKUP($F156,$P:$P,1,1),0)&gt;=L$2,"o","-")</f>
        <v>-</v>
      </c>
      <c r="M156" s="43" t="str">
        <f>IF(IFERROR(VLOOKUP($F156,$P:$P,1,1),0)&gt;=M$2,"o","-")</f>
        <v>-</v>
      </c>
      <c r="N156" s="12">
        <f>IFERROR(VLOOKUP(F156,$P:$R,3,1),0)</f>
        <v>50000</v>
      </c>
    </row>
    <row r="157" spans="2:14">
      <c r="B157" s="9">
        <v>152</v>
      </c>
      <c r="C157" s="10" t="s">
        <v>151</v>
      </c>
      <c r="D157" s="10" t="s">
        <v>340</v>
      </c>
      <c r="E157" s="58">
        <v>41900484</v>
      </c>
      <c r="F157" s="39">
        <v>2</v>
      </c>
      <c r="G157" s="42" t="str">
        <f>IF(IFERROR(VLOOKUP($F157,$P:$P,1,1),0)&gt;=G$2,"o","-")</f>
        <v>o</v>
      </c>
      <c r="H157" s="43" t="str">
        <f>IF(IFERROR(VLOOKUP($F157,$P:$P,1,1),0)&gt;=H$2,"o","-")</f>
        <v>-</v>
      </c>
      <c r="I157" s="43" t="str">
        <f>IF(IFERROR(VLOOKUP($F157,$P:$P,1,1),0)&gt;=I$2,"o","-")</f>
        <v>-</v>
      </c>
      <c r="J157" s="43" t="str">
        <f>IF(IFERROR(VLOOKUP($F157,$P:$P,1,1),0)&gt;=J$2,"o","-")</f>
        <v>-</v>
      </c>
      <c r="K157" s="43" t="str">
        <f>IF(IFERROR(VLOOKUP($F157,$P:$P,1,1),0)&gt;=K$2,"o","-")</f>
        <v>-</v>
      </c>
      <c r="L157" s="43" t="str">
        <f>IF(IFERROR(VLOOKUP($F157,$P:$P,1,1),0)&gt;=L$2,"o","-")</f>
        <v>-</v>
      </c>
      <c r="M157" s="43" t="str">
        <f>IF(IFERROR(VLOOKUP($F157,$P:$P,1,1),0)&gt;=M$2,"o","-")</f>
        <v>-</v>
      </c>
      <c r="N157" s="12">
        <f>IFERROR(VLOOKUP(F157,$P:$R,3,1),0)</f>
        <v>50000</v>
      </c>
    </row>
    <row r="158" spans="2:14">
      <c r="B158" s="9">
        <v>153</v>
      </c>
      <c r="C158" s="10" t="s">
        <v>152</v>
      </c>
      <c r="D158" s="10" t="s">
        <v>341</v>
      </c>
      <c r="E158" s="58">
        <v>40800585</v>
      </c>
      <c r="F158" s="39">
        <v>2</v>
      </c>
      <c r="G158" s="42" t="str">
        <f>IF(IFERROR(VLOOKUP($F158,$P:$P,1,1),0)&gt;=G$2,"o","-")</f>
        <v>o</v>
      </c>
      <c r="H158" s="43" t="str">
        <f>IF(IFERROR(VLOOKUP($F158,$P:$P,1,1),0)&gt;=H$2,"o","-")</f>
        <v>-</v>
      </c>
      <c r="I158" s="43" t="str">
        <f>IF(IFERROR(VLOOKUP($F158,$P:$P,1,1),0)&gt;=I$2,"o","-")</f>
        <v>-</v>
      </c>
      <c r="J158" s="43" t="str">
        <f>IF(IFERROR(VLOOKUP($F158,$P:$P,1,1),0)&gt;=J$2,"o","-")</f>
        <v>-</v>
      </c>
      <c r="K158" s="43" t="str">
        <f>IF(IFERROR(VLOOKUP($F158,$P:$P,1,1),0)&gt;=K$2,"o","-")</f>
        <v>-</v>
      </c>
      <c r="L158" s="43" t="str">
        <f>IF(IFERROR(VLOOKUP($F158,$P:$P,1,1),0)&gt;=L$2,"o","-")</f>
        <v>-</v>
      </c>
      <c r="M158" s="43" t="str">
        <f>IF(IFERROR(VLOOKUP($F158,$P:$P,1,1),0)&gt;=M$2,"o","-")</f>
        <v>-</v>
      </c>
      <c r="N158" s="12">
        <f>IFERROR(VLOOKUP(F158,$P:$R,3,1),0)</f>
        <v>50000</v>
      </c>
    </row>
    <row r="159" spans="2:14">
      <c r="B159" s="9">
        <v>154</v>
      </c>
      <c r="C159" s="10" t="s">
        <v>153</v>
      </c>
      <c r="D159" s="10" t="s">
        <v>342</v>
      </c>
      <c r="E159" s="58">
        <v>32500640</v>
      </c>
      <c r="F159" s="39">
        <v>2</v>
      </c>
      <c r="G159" s="42" t="str">
        <f>IF(IFERROR(VLOOKUP($F159,$P:$P,1,1),0)&gt;=G$2,"o","-")</f>
        <v>o</v>
      </c>
      <c r="H159" s="43" t="str">
        <f>IF(IFERROR(VLOOKUP($F159,$P:$P,1,1),0)&gt;=H$2,"o","-")</f>
        <v>-</v>
      </c>
      <c r="I159" s="43" t="str">
        <f>IF(IFERROR(VLOOKUP($F159,$P:$P,1,1),0)&gt;=I$2,"o","-")</f>
        <v>-</v>
      </c>
      <c r="J159" s="43" t="str">
        <f>IF(IFERROR(VLOOKUP($F159,$P:$P,1,1),0)&gt;=J$2,"o","-")</f>
        <v>-</v>
      </c>
      <c r="K159" s="43" t="str">
        <f>IF(IFERROR(VLOOKUP($F159,$P:$P,1,1),0)&gt;=K$2,"o","-")</f>
        <v>-</v>
      </c>
      <c r="L159" s="43" t="str">
        <f>IF(IFERROR(VLOOKUP($F159,$P:$P,1,1),0)&gt;=L$2,"o","-")</f>
        <v>-</v>
      </c>
      <c r="M159" s="43" t="str">
        <f>IF(IFERROR(VLOOKUP($F159,$P:$P,1,1),0)&gt;=M$2,"o","-")</f>
        <v>-</v>
      </c>
      <c r="N159" s="12">
        <f>IFERROR(VLOOKUP(F159,$P:$R,3,1),0)</f>
        <v>50000</v>
      </c>
    </row>
    <row r="160" spans="2:14">
      <c r="B160" s="9">
        <v>155</v>
      </c>
      <c r="C160" s="10" t="s">
        <v>154</v>
      </c>
      <c r="D160" s="10" t="s">
        <v>343</v>
      </c>
      <c r="E160" s="58">
        <v>40706355</v>
      </c>
      <c r="F160" s="39">
        <v>2</v>
      </c>
      <c r="G160" s="42" t="str">
        <f>IF(IFERROR(VLOOKUP($F160,$P:$P,1,1),0)&gt;=G$2,"o","-")</f>
        <v>o</v>
      </c>
      <c r="H160" s="43" t="str">
        <f>IF(IFERROR(VLOOKUP($F160,$P:$P,1,1),0)&gt;=H$2,"o","-")</f>
        <v>-</v>
      </c>
      <c r="I160" s="43" t="str">
        <f>IF(IFERROR(VLOOKUP($F160,$P:$P,1,1),0)&gt;=I$2,"o","-")</f>
        <v>-</v>
      </c>
      <c r="J160" s="43" t="str">
        <f>IF(IFERROR(VLOOKUP($F160,$P:$P,1,1),0)&gt;=J$2,"o","-")</f>
        <v>-</v>
      </c>
      <c r="K160" s="43" t="str">
        <f>IF(IFERROR(VLOOKUP($F160,$P:$P,1,1),0)&gt;=K$2,"o","-")</f>
        <v>-</v>
      </c>
      <c r="L160" s="43" t="str">
        <f>IF(IFERROR(VLOOKUP($F160,$P:$P,1,1),0)&gt;=L$2,"o","-")</f>
        <v>-</v>
      </c>
      <c r="M160" s="43" t="str">
        <f>IF(IFERROR(VLOOKUP($F160,$P:$P,1,1),0)&gt;=M$2,"o","-")</f>
        <v>-</v>
      </c>
      <c r="N160" s="12">
        <f>IFERROR(VLOOKUP(F160,$P:$R,3,1),0)</f>
        <v>50000</v>
      </c>
    </row>
    <row r="161" spans="2:14">
      <c r="B161" s="9">
        <v>156</v>
      </c>
      <c r="C161" s="10" t="s">
        <v>155</v>
      </c>
      <c r="D161" s="10" t="s">
        <v>344</v>
      </c>
      <c r="E161" s="58">
        <v>40709541</v>
      </c>
      <c r="F161" s="39">
        <v>2</v>
      </c>
      <c r="G161" s="42" t="str">
        <f>IF(IFERROR(VLOOKUP($F161,$P:$P,1,1),0)&gt;=G$2,"o","-")</f>
        <v>o</v>
      </c>
      <c r="H161" s="43" t="str">
        <f>IF(IFERROR(VLOOKUP($F161,$P:$P,1,1),0)&gt;=H$2,"o","-")</f>
        <v>-</v>
      </c>
      <c r="I161" s="43" t="str">
        <f>IF(IFERROR(VLOOKUP($F161,$P:$P,1,1),0)&gt;=I$2,"o","-")</f>
        <v>-</v>
      </c>
      <c r="J161" s="43" t="str">
        <f>IF(IFERROR(VLOOKUP($F161,$P:$P,1,1),0)&gt;=J$2,"o","-")</f>
        <v>-</v>
      </c>
      <c r="K161" s="43" t="str">
        <f>IF(IFERROR(VLOOKUP($F161,$P:$P,1,1),0)&gt;=K$2,"o","-")</f>
        <v>-</v>
      </c>
      <c r="L161" s="43" t="str">
        <f>IF(IFERROR(VLOOKUP($F161,$P:$P,1,1),0)&gt;=L$2,"o","-")</f>
        <v>-</v>
      </c>
      <c r="M161" s="43" t="str">
        <f>IF(IFERROR(VLOOKUP($F161,$P:$P,1,1),0)&gt;=M$2,"o","-")</f>
        <v>-</v>
      </c>
      <c r="N161" s="12">
        <f>IFERROR(VLOOKUP(F161,$P:$R,3,1),0)</f>
        <v>50000</v>
      </c>
    </row>
    <row r="162" spans="2:14">
      <c r="B162" s="9">
        <v>157</v>
      </c>
      <c r="C162" s="10" t="s">
        <v>156</v>
      </c>
      <c r="D162" s="10" t="s">
        <v>345</v>
      </c>
      <c r="E162" s="58">
        <v>31302425</v>
      </c>
      <c r="F162" s="39">
        <v>2</v>
      </c>
      <c r="G162" s="42" t="str">
        <f>IF(IFERROR(VLOOKUP($F162,$P:$P,1,1),0)&gt;=G$2,"o","-")</f>
        <v>o</v>
      </c>
      <c r="H162" s="43" t="str">
        <f>IF(IFERROR(VLOOKUP($F162,$P:$P,1,1),0)&gt;=H$2,"o","-")</f>
        <v>-</v>
      </c>
      <c r="I162" s="43" t="str">
        <f>IF(IFERROR(VLOOKUP($F162,$P:$P,1,1),0)&gt;=I$2,"o","-")</f>
        <v>-</v>
      </c>
      <c r="J162" s="43" t="str">
        <f>IF(IFERROR(VLOOKUP($F162,$P:$P,1,1),0)&gt;=J$2,"o","-")</f>
        <v>-</v>
      </c>
      <c r="K162" s="43" t="str">
        <f>IF(IFERROR(VLOOKUP($F162,$P:$P,1,1),0)&gt;=K$2,"o","-")</f>
        <v>-</v>
      </c>
      <c r="L162" s="43" t="str">
        <f>IF(IFERROR(VLOOKUP($F162,$P:$P,1,1),0)&gt;=L$2,"o","-")</f>
        <v>-</v>
      </c>
      <c r="M162" s="43" t="str">
        <f>IF(IFERROR(VLOOKUP($F162,$P:$P,1,1),0)&gt;=M$2,"o","-")</f>
        <v>-</v>
      </c>
      <c r="N162" s="12">
        <f>IFERROR(VLOOKUP(F162,$P:$R,3,1),0)</f>
        <v>50000</v>
      </c>
    </row>
    <row r="163" spans="2:14">
      <c r="B163" s="9">
        <v>158</v>
      </c>
      <c r="C163" s="10" t="s">
        <v>157</v>
      </c>
      <c r="D163" s="10" t="s">
        <v>346</v>
      </c>
      <c r="E163" s="58">
        <v>32409147</v>
      </c>
      <c r="F163" s="39">
        <v>2</v>
      </c>
      <c r="G163" s="42" t="str">
        <f>IF(IFERROR(VLOOKUP($F163,$P:$P,1,1),0)&gt;=G$2,"o","-")</f>
        <v>o</v>
      </c>
      <c r="H163" s="43" t="str">
        <f>IF(IFERROR(VLOOKUP($F163,$P:$P,1,1),0)&gt;=H$2,"o","-")</f>
        <v>-</v>
      </c>
      <c r="I163" s="43" t="str">
        <f>IF(IFERROR(VLOOKUP($F163,$P:$P,1,1),0)&gt;=I$2,"o","-")</f>
        <v>-</v>
      </c>
      <c r="J163" s="43" t="str">
        <f>IF(IFERROR(VLOOKUP($F163,$P:$P,1,1),0)&gt;=J$2,"o","-")</f>
        <v>-</v>
      </c>
      <c r="K163" s="43" t="str">
        <f>IF(IFERROR(VLOOKUP($F163,$P:$P,1,1),0)&gt;=K$2,"o","-")</f>
        <v>-</v>
      </c>
      <c r="L163" s="43" t="str">
        <f>IF(IFERROR(VLOOKUP($F163,$P:$P,1,1),0)&gt;=L$2,"o","-")</f>
        <v>-</v>
      </c>
      <c r="M163" s="43" t="str">
        <f>IF(IFERROR(VLOOKUP($F163,$P:$P,1,1),0)&gt;=M$2,"o","-")</f>
        <v>-</v>
      </c>
      <c r="N163" s="12">
        <f>IFERROR(VLOOKUP(F163,$P:$R,3,1),0)</f>
        <v>50000</v>
      </c>
    </row>
    <row r="164" spans="2:14">
      <c r="B164" s="9">
        <v>159</v>
      </c>
      <c r="C164" s="10" t="s">
        <v>158</v>
      </c>
      <c r="D164" s="10" t="s">
        <v>347</v>
      </c>
      <c r="E164" s="58">
        <v>40731555</v>
      </c>
      <c r="F164" s="39">
        <v>2</v>
      </c>
      <c r="G164" s="42" t="str">
        <f>IF(IFERROR(VLOOKUP($F164,$P:$P,1,1),0)&gt;=G$2,"o","-")</f>
        <v>o</v>
      </c>
      <c r="H164" s="43" t="str">
        <f>IF(IFERROR(VLOOKUP($F164,$P:$P,1,1),0)&gt;=H$2,"o","-")</f>
        <v>-</v>
      </c>
      <c r="I164" s="43" t="str">
        <f>IF(IFERROR(VLOOKUP($F164,$P:$P,1,1),0)&gt;=I$2,"o","-")</f>
        <v>-</v>
      </c>
      <c r="J164" s="43" t="str">
        <f>IF(IFERROR(VLOOKUP($F164,$P:$P,1,1),0)&gt;=J$2,"o","-")</f>
        <v>-</v>
      </c>
      <c r="K164" s="43" t="str">
        <f>IF(IFERROR(VLOOKUP($F164,$P:$P,1,1),0)&gt;=K$2,"o","-")</f>
        <v>-</v>
      </c>
      <c r="L164" s="43" t="str">
        <f>IF(IFERROR(VLOOKUP($F164,$P:$P,1,1),0)&gt;=L$2,"o","-")</f>
        <v>-</v>
      </c>
      <c r="M164" s="43" t="str">
        <f>IF(IFERROR(VLOOKUP($F164,$P:$P,1,1),0)&gt;=M$2,"o","-")</f>
        <v>-</v>
      </c>
      <c r="N164" s="12">
        <f>IFERROR(VLOOKUP(F164,$P:$R,3,1),0)</f>
        <v>50000</v>
      </c>
    </row>
    <row r="165" spans="2:14">
      <c r="B165" s="9">
        <v>160</v>
      </c>
      <c r="C165" s="10" t="s">
        <v>159</v>
      </c>
      <c r="D165" s="10" t="s">
        <v>348</v>
      </c>
      <c r="E165" s="58">
        <v>40734750</v>
      </c>
      <c r="F165" s="39">
        <v>2</v>
      </c>
      <c r="G165" s="42" t="str">
        <f>IF(IFERROR(VLOOKUP($F165,$P:$P,1,1),0)&gt;=G$2,"o","-")</f>
        <v>o</v>
      </c>
      <c r="H165" s="43" t="str">
        <f>IF(IFERROR(VLOOKUP($F165,$P:$P,1,1),0)&gt;=H$2,"o","-")</f>
        <v>-</v>
      </c>
      <c r="I165" s="43" t="str">
        <f>IF(IFERROR(VLOOKUP($F165,$P:$P,1,1),0)&gt;=I$2,"o","-")</f>
        <v>-</v>
      </c>
      <c r="J165" s="43" t="str">
        <f>IF(IFERROR(VLOOKUP($F165,$P:$P,1,1),0)&gt;=J$2,"o","-")</f>
        <v>-</v>
      </c>
      <c r="K165" s="43" t="str">
        <f>IF(IFERROR(VLOOKUP($F165,$P:$P,1,1),0)&gt;=K$2,"o","-")</f>
        <v>-</v>
      </c>
      <c r="L165" s="43" t="str">
        <f>IF(IFERROR(VLOOKUP($F165,$P:$P,1,1),0)&gt;=L$2,"o","-")</f>
        <v>-</v>
      </c>
      <c r="M165" s="43" t="str">
        <f>IF(IFERROR(VLOOKUP($F165,$P:$P,1,1),0)&gt;=M$2,"o","-")</f>
        <v>-</v>
      </c>
      <c r="N165" s="12">
        <f>IFERROR(VLOOKUP(F165,$P:$R,3,1),0)</f>
        <v>50000</v>
      </c>
    </row>
    <row r="166" spans="2:14">
      <c r="B166" s="9">
        <v>161</v>
      </c>
      <c r="C166" s="10" t="s">
        <v>160</v>
      </c>
      <c r="D166" s="10" t="s">
        <v>349</v>
      </c>
      <c r="E166" s="58">
        <v>32000843</v>
      </c>
      <c r="F166" s="39">
        <v>2</v>
      </c>
      <c r="G166" s="42" t="str">
        <f>IF(IFERROR(VLOOKUP($F166,$P:$P,1,1),0)&gt;=G$2,"o","-")</f>
        <v>o</v>
      </c>
      <c r="H166" s="43" t="str">
        <f>IF(IFERROR(VLOOKUP($F166,$P:$P,1,1),0)&gt;=H$2,"o","-")</f>
        <v>-</v>
      </c>
      <c r="I166" s="43" t="str">
        <f>IF(IFERROR(VLOOKUP($F166,$P:$P,1,1),0)&gt;=I$2,"o","-")</f>
        <v>-</v>
      </c>
      <c r="J166" s="43" t="str">
        <f>IF(IFERROR(VLOOKUP($F166,$P:$P,1,1),0)&gt;=J$2,"o","-")</f>
        <v>-</v>
      </c>
      <c r="K166" s="43" t="str">
        <f>IF(IFERROR(VLOOKUP($F166,$P:$P,1,1),0)&gt;=K$2,"o","-")</f>
        <v>-</v>
      </c>
      <c r="L166" s="43" t="str">
        <f>IF(IFERROR(VLOOKUP($F166,$P:$P,1,1),0)&gt;=L$2,"o","-")</f>
        <v>-</v>
      </c>
      <c r="M166" s="43" t="str">
        <f>IF(IFERROR(VLOOKUP($F166,$P:$P,1,1),0)&gt;=M$2,"o","-")</f>
        <v>-</v>
      </c>
      <c r="N166" s="12">
        <f>IFERROR(VLOOKUP(F166,$P:$R,3,1),0)</f>
        <v>50000</v>
      </c>
    </row>
    <row r="167" spans="2:14">
      <c r="B167" s="9">
        <v>162</v>
      </c>
      <c r="C167" s="10" t="s">
        <v>161</v>
      </c>
      <c r="D167" s="10" t="s">
        <v>350</v>
      </c>
      <c r="E167" s="58">
        <v>42302586</v>
      </c>
      <c r="F167" s="39">
        <v>2</v>
      </c>
      <c r="G167" s="42" t="str">
        <f>IF(IFERROR(VLOOKUP($F167,$P:$P,1,1),0)&gt;=G$2,"o","-")</f>
        <v>o</v>
      </c>
      <c r="H167" s="43" t="str">
        <f>IF(IFERROR(VLOOKUP($F167,$P:$P,1,1),0)&gt;=H$2,"o","-")</f>
        <v>-</v>
      </c>
      <c r="I167" s="43" t="str">
        <f>IF(IFERROR(VLOOKUP($F167,$P:$P,1,1),0)&gt;=I$2,"o","-")</f>
        <v>-</v>
      </c>
      <c r="J167" s="43" t="str">
        <f>IF(IFERROR(VLOOKUP($F167,$P:$P,1,1),0)&gt;=J$2,"o","-")</f>
        <v>-</v>
      </c>
      <c r="K167" s="43" t="str">
        <f>IF(IFERROR(VLOOKUP($F167,$P:$P,1,1),0)&gt;=K$2,"o","-")</f>
        <v>-</v>
      </c>
      <c r="L167" s="43" t="str">
        <f>IF(IFERROR(VLOOKUP($F167,$P:$P,1,1),0)&gt;=L$2,"o","-")</f>
        <v>-</v>
      </c>
      <c r="M167" s="43" t="str">
        <f>IF(IFERROR(VLOOKUP($F167,$P:$P,1,1),0)&gt;=M$2,"o","-")</f>
        <v>-</v>
      </c>
      <c r="N167" s="12">
        <f>IFERROR(VLOOKUP(F167,$P:$R,3,1),0)</f>
        <v>50000</v>
      </c>
    </row>
    <row r="168" spans="2:14">
      <c r="B168" s="9">
        <v>163</v>
      </c>
      <c r="C168" s="10" t="s">
        <v>162</v>
      </c>
      <c r="D168" s="10" t="s">
        <v>351</v>
      </c>
      <c r="E168" s="58">
        <v>31900539</v>
      </c>
      <c r="F168" s="39">
        <v>2</v>
      </c>
      <c r="G168" s="42" t="str">
        <f>IF(IFERROR(VLOOKUP($F168,$P:$P,1,1),0)&gt;=G$2,"o","-")</f>
        <v>o</v>
      </c>
      <c r="H168" s="43" t="str">
        <f>IF(IFERROR(VLOOKUP($F168,$P:$P,1,1),0)&gt;=H$2,"o","-")</f>
        <v>-</v>
      </c>
      <c r="I168" s="43" t="str">
        <f>IF(IFERROR(VLOOKUP($F168,$P:$P,1,1),0)&gt;=I$2,"o","-")</f>
        <v>-</v>
      </c>
      <c r="J168" s="43" t="str">
        <f>IF(IFERROR(VLOOKUP($F168,$P:$P,1,1),0)&gt;=J$2,"o","-")</f>
        <v>-</v>
      </c>
      <c r="K168" s="43" t="str">
        <f>IF(IFERROR(VLOOKUP($F168,$P:$P,1,1),0)&gt;=K$2,"o","-")</f>
        <v>-</v>
      </c>
      <c r="L168" s="43" t="str">
        <f>IF(IFERROR(VLOOKUP($F168,$P:$P,1,1),0)&gt;=L$2,"o","-")</f>
        <v>-</v>
      </c>
      <c r="M168" s="43" t="str">
        <f>IF(IFERROR(VLOOKUP($F168,$P:$P,1,1),0)&gt;=M$2,"o","-")</f>
        <v>-</v>
      </c>
      <c r="N168" s="12">
        <f>IFERROR(VLOOKUP(F168,$P:$R,3,1),0)</f>
        <v>50000</v>
      </c>
    </row>
    <row r="169" spans="2:14">
      <c r="B169" s="9">
        <v>164</v>
      </c>
      <c r="C169" s="10" t="s">
        <v>163</v>
      </c>
      <c r="D169" s="10" t="s">
        <v>352</v>
      </c>
      <c r="E169" s="58">
        <v>31302227</v>
      </c>
      <c r="F169" s="39">
        <v>2</v>
      </c>
      <c r="G169" s="42" t="str">
        <f>IF(IFERROR(VLOOKUP($F169,$P:$P,1,1),0)&gt;=G$2,"o","-")</f>
        <v>o</v>
      </c>
      <c r="H169" s="43" t="str">
        <f>IF(IFERROR(VLOOKUP($F169,$P:$P,1,1),0)&gt;=H$2,"o","-")</f>
        <v>-</v>
      </c>
      <c r="I169" s="43" t="str">
        <f>IF(IFERROR(VLOOKUP($F169,$P:$P,1,1),0)&gt;=I$2,"o","-")</f>
        <v>-</v>
      </c>
      <c r="J169" s="43" t="str">
        <f>IF(IFERROR(VLOOKUP($F169,$P:$P,1,1),0)&gt;=J$2,"o","-")</f>
        <v>-</v>
      </c>
      <c r="K169" s="43" t="str">
        <f>IF(IFERROR(VLOOKUP($F169,$P:$P,1,1),0)&gt;=K$2,"o","-")</f>
        <v>-</v>
      </c>
      <c r="L169" s="43" t="str">
        <f>IF(IFERROR(VLOOKUP($F169,$P:$P,1,1),0)&gt;=L$2,"o","-")</f>
        <v>-</v>
      </c>
      <c r="M169" s="43" t="str">
        <f>IF(IFERROR(VLOOKUP($F169,$P:$P,1,1),0)&gt;=M$2,"o","-")</f>
        <v>-</v>
      </c>
      <c r="N169" s="12">
        <f>IFERROR(VLOOKUP(F169,$P:$R,3,1),0)</f>
        <v>50000</v>
      </c>
    </row>
    <row r="170" spans="2:14">
      <c r="B170" s="9">
        <v>165</v>
      </c>
      <c r="C170" s="10" t="s">
        <v>164</v>
      </c>
      <c r="D170" s="10" t="s">
        <v>353</v>
      </c>
      <c r="E170" s="58">
        <v>32300543</v>
      </c>
      <c r="F170" s="39">
        <v>2</v>
      </c>
      <c r="G170" s="42" t="str">
        <f>IF(IFERROR(VLOOKUP($F170,$P:$P,1,1),0)&gt;=G$2,"o","-")</f>
        <v>o</v>
      </c>
      <c r="H170" s="43" t="str">
        <f>IF(IFERROR(VLOOKUP($F170,$P:$P,1,1),0)&gt;=H$2,"o","-")</f>
        <v>-</v>
      </c>
      <c r="I170" s="43" t="str">
        <f>IF(IFERROR(VLOOKUP($F170,$P:$P,1,1),0)&gt;=I$2,"o","-")</f>
        <v>-</v>
      </c>
      <c r="J170" s="43" t="str">
        <f>IF(IFERROR(VLOOKUP($F170,$P:$P,1,1),0)&gt;=J$2,"o","-")</f>
        <v>-</v>
      </c>
      <c r="K170" s="43" t="str">
        <f>IF(IFERROR(VLOOKUP($F170,$P:$P,1,1),0)&gt;=K$2,"o","-")</f>
        <v>-</v>
      </c>
      <c r="L170" s="43" t="str">
        <f>IF(IFERROR(VLOOKUP($F170,$P:$P,1,1),0)&gt;=L$2,"o","-")</f>
        <v>-</v>
      </c>
      <c r="M170" s="43" t="str">
        <f>IF(IFERROR(VLOOKUP($F170,$P:$P,1,1),0)&gt;=M$2,"o","-")</f>
        <v>-</v>
      </c>
      <c r="N170" s="12">
        <f>IFERROR(VLOOKUP(F170,$P:$R,3,1),0)</f>
        <v>50000</v>
      </c>
    </row>
    <row r="171" spans="2:14">
      <c r="B171" s="9">
        <v>166</v>
      </c>
      <c r="C171" s="10" t="s">
        <v>165</v>
      </c>
      <c r="D171" s="10" t="s">
        <v>354</v>
      </c>
      <c r="E171" s="58">
        <v>31803924</v>
      </c>
      <c r="F171" s="39">
        <v>2</v>
      </c>
      <c r="G171" s="42" t="str">
        <f>IF(IFERROR(VLOOKUP($F171,$P:$P,1,1),0)&gt;=G$2,"o","-")</f>
        <v>o</v>
      </c>
      <c r="H171" s="43" t="str">
        <f>IF(IFERROR(VLOOKUP($F171,$P:$P,1,1),0)&gt;=H$2,"o","-")</f>
        <v>-</v>
      </c>
      <c r="I171" s="43" t="str">
        <f>IF(IFERROR(VLOOKUP($F171,$P:$P,1,1),0)&gt;=I$2,"o","-")</f>
        <v>-</v>
      </c>
      <c r="J171" s="43" t="str">
        <f>IF(IFERROR(VLOOKUP($F171,$P:$P,1,1),0)&gt;=J$2,"o","-")</f>
        <v>-</v>
      </c>
      <c r="K171" s="43" t="str">
        <f>IF(IFERROR(VLOOKUP($F171,$P:$P,1,1),0)&gt;=K$2,"o","-")</f>
        <v>-</v>
      </c>
      <c r="L171" s="43" t="str">
        <f>IF(IFERROR(VLOOKUP($F171,$P:$P,1,1),0)&gt;=L$2,"o","-")</f>
        <v>-</v>
      </c>
      <c r="M171" s="43" t="str">
        <f>IF(IFERROR(VLOOKUP($F171,$P:$P,1,1),0)&gt;=M$2,"o","-")</f>
        <v>-</v>
      </c>
      <c r="N171" s="12">
        <f>IFERROR(VLOOKUP(F171,$P:$R,3,1),0)</f>
        <v>50000</v>
      </c>
    </row>
    <row r="172" spans="2:14">
      <c r="B172" s="9">
        <v>167</v>
      </c>
      <c r="C172" s="10" t="s">
        <v>166</v>
      </c>
      <c r="D172" s="10" t="s">
        <v>355</v>
      </c>
      <c r="E172" s="58">
        <v>41500488</v>
      </c>
      <c r="F172" s="39">
        <v>2</v>
      </c>
      <c r="G172" s="42" t="str">
        <f>IF(IFERROR(VLOOKUP($F172,$P:$P,1,1),0)&gt;=G$2,"o","-")</f>
        <v>o</v>
      </c>
      <c r="H172" s="43" t="str">
        <f>IF(IFERROR(VLOOKUP($F172,$P:$P,1,1),0)&gt;=H$2,"o","-")</f>
        <v>-</v>
      </c>
      <c r="I172" s="43" t="str">
        <f>IF(IFERROR(VLOOKUP($F172,$P:$P,1,1),0)&gt;=I$2,"o","-")</f>
        <v>-</v>
      </c>
      <c r="J172" s="43" t="str">
        <f>IF(IFERROR(VLOOKUP($F172,$P:$P,1,1),0)&gt;=J$2,"o","-")</f>
        <v>-</v>
      </c>
      <c r="K172" s="43" t="str">
        <f>IF(IFERROR(VLOOKUP($F172,$P:$P,1,1),0)&gt;=K$2,"o","-")</f>
        <v>-</v>
      </c>
      <c r="L172" s="43" t="str">
        <f>IF(IFERROR(VLOOKUP($F172,$P:$P,1,1),0)&gt;=L$2,"o","-")</f>
        <v>-</v>
      </c>
      <c r="M172" s="43" t="str">
        <f>IF(IFERROR(VLOOKUP($F172,$P:$P,1,1),0)&gt;=M$2,"o","-")</f>
        <v>-</v>
      </c>
      <c r="N172" s="12">
        <f>IFERROR(VLOOKUP(F172,$P:$R,3,1),0)</f>
        <v>50000</v>
      </c>
    </row>
    <row r="173" spans="2:14">
      <c r="B173" s="9">
        <v>168</v>
      </c>
      <c r="C173" s="10" t="s">
        <v>38</v>
      </c>
      <c r="D173" s="10" t="s">
        <v>356</v>
      </c>
      <c r="E173" s="58">
        <v>41502422</v>
      </c>
      <c r="F173" s="39">
        <v>2</v>
      </c>
      <c r="G173" s="42" t="str">
        <f>IF(IFERROR(VLOOKUP($F173,$P:$P,1,1),0)&gt;=G$2,"o","-")</f>
        <v>o</v>
      </c>
      <c r="H173" s="43" t="str">
        <f>IF(IFERROR(VLOOKUP($F173,$P:$P,1,1),0)&gt;=H$2,"o","-")</f>
        <v>-</v>
      </c>
      <c r="I173" s="43" t="str">
        <f>IF(IFERROR(VLOOKUP($F173,$P:$P,1,1),0)&gt;=I$2,"o","-")</f>
        <v>-</v>
      </c>
      <c r="J173" s="43" t="str">
        <f>IF(IFERROR(VLOOKUP($F173,$P:$P,1,1),0)&gt;=J$2,"o","-")</f>
        <v>-</v>
      </c>
      <c r="K173" s="43" t="str">
        <f>IF(IFERROR(VLOOKUP($F173,$P:$P,1,1),0)&gt;=K$2,"o","-")</f>
        <v>-</v>
      </c>
      <c r="L173" s="43" t="str">
        <f>IF(IFERROR(VLOOKUP($F173,$P:$P,1,1),0)&gt;=L$2,"o","-")</f>
        <v>-</v>
      </c>
      <c r="M173" s="43" t="str">
        <f>IF(IFERROR(VLOOKUP($F173,$P:$P,1,1),0)&gt;=M$2,"o","-")</f>
        <v>-</v>
      </c>
      <c r="N173" s="12">
        <f>IFERROR(VLOOKUP(F173,$P:$R,3,1),0)</f>
        <v>50000</v>
      </c>
    </row>
    <row r="174" spans="2:14">
      <c r="B174" s="9">
        <v>169</v>
      </c>
      <c r="C174" s="10" t="s">
        <v>167</v>
      </c>
      <c r="D174" s="10" t="s">
        <v>357</v>
      </c>
      <c r="E174" s="58">
        <v>31900755</v>
      </c>
      <c r="F174" s="39">
        <v>2</v>
      </c>
      <c r="G174" s="42" t="str">
        <f>IF(IFERROR(VLOOKUP($F174,$P:$P,1,1),0)&gt;=G$2,"o","-")</f>
        <v>o</v>
      </c>
      <c r="H174" s="43" t="str">
        <f>IF(IFERROR(VLOOKUP($F174,$P:$P,1,1),0)&gt;=H$2,"o","-")</f>
        <v>-</v>
      </c>
      <c r="I174" s="43" t="str">
        <f>IF(IFERROR(VLOOKUP($F174,$P:$P,1,1),0)&gt;=I$2,"o","-")</f>
        <v>-</v>
      </c>
      <c r="J174" s="43" t="str">
        <f>IF(IFERROR(VLOOKUP($F174,$P:$P,1,1),0)&gt;=J$2,"o","-")</f>
        <v>-</v>
      </c>
      <c r="K174" s="43" t="str">
        <f>IF(IFERROR(VLOOKUP($F174,$P:$P,1,1),0)&gt;=K$2,"o","-")</f>
        <v>-</v>
      </c>
      <c r="L174" s="43" t="str">
        <f>IF(IFERROR(VLOOKUP($F174,$P:$P,1,1),0)&gt;=L$2,"o","-")</f>
        <v>-</v>
      </c>
      <c r="M174" s="43" t="str">
        <f>IF(IFERROR(VLOOKUP($F174,$P:$P,1,1),0)&gt;=M$2,"o","-")</f>
        <v>-</v>
      </c>
      <c r="N174" s="12">
        <f>IFERROR(VLOOKUP(F174,$P:$R,3,1),0)</f>
        <v>50000</v>
      </c>
    </row>
    <row r="175" spans="2:14">
      <c r="B175" s="9">
        <v>170</v>
      </c>
      <c r="C175" s="10" t="s">
        <v>168</v>
      </c>
      <c r="D175" s="10" t="s">
        <v>358</v>
      </c>
      <c r="E175" s="58">
        <v>42402242</v>
      </c>
      <c r="F175" s="39">
        <v>2</v>
      </c>
      <c r="G175" s="42" t="str">
        <f>IF(IFERROR(VLOOKUP($F175,$P:$P,1,1),0)&gt;=G$2,"o","-")</f>
        <v>o</v>
      </c>
      <c r="H175" s="43" t="str">
        <f>IF(IFERROR(VLOOKUP($F175,$P:$P,1,1),0)&gt;=H$2,"o","-")</f>
        <v>-</v>
      </c>
      <c r="I175" s="43" t="str">
        <f>IF(IFERROR(VLOOKUP($F175,$P:$P,1,1),0)&gt;=I$2,"o","-")</f>
        <v>-</v>
      </c>
      <c r="J175" s="43" t="str">
        <f>IF(IFERROR(VLOOKUP($F175,$P:$P,1,1),0)&gt;=J$2,"o","-")</f>
        <v>-</v>
      </c>
      <c r="K175" s="43" t="str">
        <f>IF(IFERROR(VLOOKUP($F175,$P:$P,1,1),0)&gt;=K$2,"o","-")</f>
        <v>-</v>
      </c>
      <c r="L175" s="43" t="str">
        <f>IF(IFERROR(VLOOKUP($F175,$P:$P,1,1),0)&gt;=L$2,"o","-")</f>
        <v>-</v>
      </c>
      <c r="M175" s="43" t="str">
        <f>IF(IFERROR(VLOOKUP($F175,$P:$P,1,1),0)&gt;=M$2,"o","-")</f>
        <v>-</v>
      </c>
      <c r="N175" s="12">
        <f>IFERROR(VLOOKUP(F175,$P:$R,3,1),0)</f>
        <v>50000</v>
      </c>
    </row>
    <row r="176" spans="2:14">
      <c r="B176" s="9">
        <v>171</v>
      </c>
      <c r="C176" s="10" t="s">
        <v>169</v>
      </c>
      <c r="D176" s="10" t="s">
        <v>359</v>
      </c>
      <c r="E176" s="58">
        <v>32000564</v>
      </c>
      <c r="F176" s="39">
        <v>2</v>
      </c>
      <c r="G176" s="42" t="str">
        <f>IF(IFERROR(VLOOKUP($F176,$P:$P,1,1),0)&gt;=G$2,"o","-")</f>
        <v>o</v>
      </c>
      <c r="H176" s="43" t="str">
        <f>IF(IFERROR(VLOOKUP($F176,$P:$P,1,1),0)&gt;=H$2,"o","-")</f>
        <v>-</v>
      </c>
      <c r="I176" s="43" t="str">
        <f>IF(IFERROR(VLOOKUP($F176,$P:$P,1,1),0)&gt;=I$2,"o","-")</f>
        <v>-</v>
      </c>
      <c r="J176" s="43" t="str">
        <f>IF(IFERROR(VLOOKUP($F176,$P:$P,1,1),0)&gt;=J$2,"o","-")</f>
        <v>-</v>
      </c>
      <c r="K176" s="43" t="str">
        <f>IF(IFERROR(VLOOKUP($F176,$P:$P,1,1),0)&gt;=K$2,"o","-")</f>
        <v>-</v>
      </c>
      <c r="L176" s="43" t="str">
        <f>IF(IFERROR(VLOOKUP($F176,$P:$P,1,1),0)&gt;=L$2,"o","-")</f>
        <v>-</v>
      </c>
      <c r="M176" s="43" t="str">
        <f>IF(IFERROR(VLOOKUP($F176,$P:$P,1,1),0)&gt;=M$2,"o","-")</f>
        <v>-</v>
      </c>
      <c r="N176" s="12">
        <f>IFERROR(VLOOKUP(F176,$P:$R,3,1),0)</f>
        <v>50000</v>
      </c>
    </row>
    <row r="177" spans="2:14">
      <c r="B177" s="9">
        <v>172</v>
      </c>
      <c r="C177" s="10" t="s">
        <v>170</v>
      </c>
      <c r="D177" s="10" t="s">
        <v>360</v>
      </c>
      <c r="E177" s="58">
        <v>32202065</v>
      </c>
      <c r="F177" s="39">
        <v>2</v>
      </c>
      <c r="G177" s="42" t="str">
        <f>IF(IFERROR(VLOOKUP($F177,$P:$P,1,1),0)&gt;=G$2,"o","-")</f>
        <v>o</v>
      </c>
      <c r="H177" s="43" t="str">
        <f>IF(IFERROR(VLOOKUP($F177,$P:$P,1,1),0)&gt;=H$2,"o","-")</f>
        <v>-</v>
      </c>
      <c r="I177" s="43" t="str">
        <f>IF(IFERROR(VLOOKUP($F177,$P:$P,1,1),0)&gt;=I$2,"o","-")</f>
        <v>-</v>
      </c>
      <c r="J177" s="43" t="str">
        <f>IF(IFERROR(VLOOKUP($F177,$P:$P,1,1),0)&gt;=J$2,"o","-")</f>
        <v>-</v>
      </c>
      <c r="K177" s="43" t="str">
        <f>IF(IFERROR(VLOOKUP($F177,$P:$P,1,1),0)&gt;=K$2,"o","-")</f>
        <v>-</v>
      </c>
      <c r="L177" s="43" t="str">
        <f>IF(IFERROR(VLOOKUP($F177,$P:$P,1,1),0)&gt;=L$2,"o","-")</f>
        <v>-</v>
      </c>
      <c r="M177" s="43" t="str">
        <f>IF(IFERROR(VLOOKUP($F177,$P:$P,1,1),0)&gt;=M$2,"o","-")</f>
        <v>-</v>
      </c>
      <c r="N177" s="12">
        <f>IFERROR(VLOOKUP(F177,$P:$R,3,1),0)</f>
        <v>50000</v>
      </c>
    </row>
    <row r="178" spans="2:14">
      <c r="B178" s="9">
        <v>173</v>
      </c>
      <c r="C178" s="10" t="s">
        <v>171</v>
      </c>
      <c r="D178" s="10" t="s">
        <v>361</v>
      </c>
      <c r="E178" s="58">
        <v>42502656</v>
      </c>
      <c r="F178" s="39">
        <v>2</v>
      </c>
      <c r="G178" s="42" t="str">
        <f>IF(IFERROR(VLOOKUP($F178,$P:$P,1,1),0)&gt;=G$2,"o","-")</f>
        <v>o</v>
      </c>
      <c r="H178" s="43" t="str">
        <f>IF(IFERROR(VLOOKUP($F178,$P:$P,1,1),0)&gt;=H$2,"o","-")</f>
        <v>-</v>
      </c>
      <c r="I178" s="43" t="str">
        <f>IF(IFERROR(VLOOKUP($F178,$P:$P,1,1),0)&gt;=I$2,"o","-")</f>
        <v>-</v>
      </c>
      <c r="J178" s="43" t="str">
        <f>IF(IFERROR(VLOOKUP($F178,$P:$P,1,1),0)&gt;=J$2,"o","-")</f>
        <v>-</v>
      </c>
      <c r="K178" s="43" t="str">
        <f>IF(IFERROR(VLOOKUP($F178,$P:$P,1,1),0)&gt;=K$2,"o","-")</f>
        <v>-</v>
      </c>
      <c r="L178" s="43" t="str">
        <f>IF(IFERROR(VLOOKUP($F178,$P:$P,1,1),0)&gt;=L$2,"o","-")</f>
        <v>-</v>
      </c>
      <c r="M178" s="43" t="str">
        <f>IF(IFERROR(VLOOKUP($F178,$P:$P,1,1),0)&gt;=M$2,"o","-")</f>
        <v>-</v>
      </c>
      <c r="N178" s="12">
        <f>IFERROR(VLOOKUP(F178,$P:$R,3,1),0)</f>
        <v>50000</v>
      </c>
    </row>
    <row r="179" spans="2:14">
      <c r="B179" s="9">
        <v>174</v>
      </c>
      <c r="C179" s="10" t="s">
        <v>172</v>
      </c>
      <c r="D179" s="10" t="s">
        <v>362</v>
      </c>
      <c r="E179" s="58">
        <v>31901088</v>
      </c>
      <c r="F179" s="39">
        <v>2</v>
      </c>
      <c r="G179" s="42" t="str">
        <f>IF(IFERROR(VLOOKUP($F179,$P:$P,1,1),0)&gt;=G$2,"o","-")</f>
        <v>o</v>
      </c>
      <c r="H179" s="43" t="str">
        <f>IF(IFERROR(VLOOKUP($F179,$P:$P,1,1),0)&gt;=H$2,"o","-")</f>
        <v>-</v>
      </c>
      <c r="I179" s="43" t="str">
        <f>IF(IFERROR(VLOOKUP($F179,$P:$P,1,1),0)&gt;=I$2,"o","-")</f>
        <v>-</v>
      </c>
      <c r="J179" s="43" t="str">
        <f>IF(IFERROR(VLOOKUP($F179,$P:$P,1,1),0)&gt;=J$2,"o","-")</f>
        <v>-</v>
      </c>
      <c r="K179" s="43" t="str">
        <f>IF(IFERROR(VLOOKUP($F179,$P:$P,1,1),0)&gt;=K$2,"o","-")</f>
        <v>-</v>
      </c>
      <c r="L179" s="43" t="str">
        <f>IF(IFERROR(VLOOKUP($F179,$P:$P,1,1),0)&gt;=L$2,"o","-")</f>
        <v>-</v>
      </c>
      <c r="M179" s="43" t="str">
        <f>IF(IFERROR(VLOOKUP($F179,$P:$P,1,1),0)&gt;=M$2,"o","-")</f>
        <v>-</v>
      </c>
      <c r="N179" s="12">
        <f>IFERROR(VLOOKUP(F179,$P:$R,3,1),0)</f>
        <v>50000</v>
      </c>
    </row>
    <row r="180" spans="2:14">
      <c r="B180" s="9">
        <v>175</v>
      </c>
      <c r="C180" s="10" t="s">
        <v>173</v>
      </c>
      <c r="D180" s="10" t="s">
        <v>363</v>
      </c>
      <c r="E180" s="58">
        <v>31503585</v>
      </c>
      <c r="F180" s="39">
        <v>2</v>
      </c>
      <c r="G180" s="42" t="str">
        <f>IF(IFERROR(VLOOKUP($F180,$P:$P,1,1),0)&gt;=G$2,"o","-")</f>
        <v>o</v>
      </c>
      <c r="H180" s="43" t="str">
        <f>IF(IFERROR(VLOOKUP($F180,$P:$P,1,1),0)&gt;=H$2,"o","-")</f>
        <v>-</v>
      </c>
      <c r="I180" s="43" t="str">
        <f>IF(IFERROR(VLOOKUP($F180,$P:$P,1,1),0)&gt;=I$2,"o","-")</f>
        <v>-</v>
      </c>
      <c r="J180" s="43" t="str">
        <f>IF(IFERROR(VLOOKUP($F180,$P:$P,1,1),0)&gt;=J$2,"o","-")</f>
        <v>-</v>
      </c>
      <c r="K180" s="43" t="str">
        <f>IF(IFERROR(VLOOKUP($F180,$P:$P,1,1),0)&gt;=K$2,"o","-")</f>
        <v>-</v>
      </c>
      <c r="L180" s="43" t="str">
        <f>IF(IFERROR(VLOOKUP($F180,$P:$P,1,1),0)&gt;=L$2,"o","-")</f>
        <v>-</v>
      </c>
      <c r="M180" s="43" t="str">
        <f>IF(IFERROR(VLOOKUP($F180,$P:$P,1,1),0)&gt;=M$2,"o","-")</f>
        <v>-</v>
      </c>
      <c r="N180" s="12">
        <f>IFERROR(VLOOKUP(F180,$P:$R,3,1),0)</f>
        <v>50000</v>
      </c>
    </row>
    <row r="181" spans="2:14">
      <c r="B181" s="9">
        <v>176</v>
      </c>
      <c r="C181" s="10" t="s">
        <v>174</v>
      </c>
      <c r="D181" s="10" t="s">
        <v>364</v>
      </c>
      <c r="E181" s="58">
        <v>32503250</v>
      </c>
      <c r="F181" s="39">
        <v>2</v>
      </c>
      <c r="G181" s="42" t="str">
        <f>IF(IFERROR(VLOOKUP($F181,$P:$P,1,1),0)&gt;=G$2,"o","-")</f>
        <v>o</v>
      </c>
      <c r="H181" s="43" t="str">
        <f>IF(IFERROR(VLOOKUP($F181,$P:$P,1,1),0)&gt;=H$2,"o","-")</f>
        <v>-</v>
      </c>
      <c r="I181" s="43" t="str">
        <f>IF(IFERROR(VLOOKUP($F181,$P:$P,1,1),0)&gt;=I$2,"o","-")</f>
        <v>-</v>
      </c>
      <c r="J181" s="43" t="str">
        <f>IF(IFERROR(VLOOKUP($F181,$P:$P,1,1),0)&gt;=J$2,"o","-")</f>
        <v>-</v>
      </c>
      <c r="K181" s="43" t="str">
        <f>IF(IFERROR(VLOOKUP($F181,$P:$P,1,1),0)&gt;=K$2,"o","-")</f>
        <v>-</v>
      </c>
      <c r="L181" s="43" t="str">
        <f>IF(IFERROR(VLOOKUP($F181,$P:$P,1,1),0)&gt;=L$2,"o","-")</f>
        <v>-</v>
      </c>
      <c r="M181" s="43" t="str">
        <f>IF(IFERROR(VLOOKUP($F181,$P:$P,1,1),0)&gt;=M$2,"o","-")</f>
        <v>-</v>
      </c>
      <c r="N181" s="12">
        <f>IFERROR(VLOOKUP(F181,$P:$R,3,1),0)</f>
        <v>50000</v>
      </c>
    </row>
    <row r="182" spans="2:14">
      <c r="B182" s="9">
        <v>177</v>
      </c>
      <c r="C182" s="10" t="s">
        <v>175</v>
      </c>
      <c r="D182" s="10" t="s">
        <v>365</v>
      </c>
      <c r="E182" s="58">
        <v>31205838</v>
      </c>
      <c r="F182" s="39">
        <v>2</v>
      </c>
      <c r="G182" s="42" t="str">
        <f>IF(IFERROR(VLOOKUP($F182,$P:$P,1,1),0)&gt;=G$2,"o","-")</f>
        <v>o</v>
      </c>
      <c r="H182" s="43" t="str">
        <f>IF(IFERROR(VLOOKUP($F182,$P:$P,1,1),0)&gt;=H$2,"o","-")</f>
        <v>-</v>
      </c>
      <c r="I182" s="43" t="str">
        <f>IF(IFERROR(VLOOKUP($F182,$P:$P,1,1),0)&gt;=I$2,"o","-")</f>
        <v>-</v>
      </c>
      <c r="J182" s="43" t="str">
        <f>IF(IFERROR(VLOOKUP($F182,$P:$P,1,1),0)&gt;=J$2,"o","-")</f>
        <v>-</v>
      </c>
      <c r="K182" s="43" t="str">
        <f>IF(IFERROR(VLOOKUP($F182,$P:$P,1,1),0)&gt;=K$2,"o","-")</f>
        <v>-</v>
      </c>
      <c r="L182" s="43" t="str">
        <f>IF(IFERROR(VLOOKUP($F182,$P:$P,1,1),0)&gt;=L$2,"o","-")</f>
        <v>-</v>
      </c>
      <c r="M182" s="43" t="str">
        <f>IF(IFERROR(VLOOKUP($F182,$P:$P,1,1),0)&gt;=M$2,"o","-")</f>
        <v>-</v>
      </c>
      <c r="N182" s="12">
        <f>IFERROR(VLOOKUP(F182,$P:$R,3,1),0)</f>
        <v>50000</v>
      </c>
    </row>
    <row r="183" spans="2:14">
      <c r="B183" s="9">
        <v>178</v>
      </c>
      <c r="C183" s="10" t="s">
        <v>176</v>
      </c>
      <c r="D183" s="10" t="s">
        <v>366</v>
      </c>
      <c r="E183" s="58">
        <v>40701378</v>
      </c>
      <c r="F183" s="39">
        <v>2</v>
      </c>
      <c r="G183" s="42" t="str">
        <f>IF(IFERROR(VLOOKUP($F183,$P:$P,1,1),0)&gt;=G$2,"o","-")</f>
        <v>o</v>
      </c>
      <c r="H183" s="43" t="str">
        <f>IF(IFERROR(VLOOKUP($F183,$P:$P,1,1),0)&gt;=H$2,"o","-")</f>
        <v>-</v>
      </c>
      <c r="I183" s="43" t="str">
        <f>IF(IFERROR(VLOOKUP($F183,$P:$P,1,1),0)&gt;=I$2,"o","-")</f>
        <v>-</v>
      </c>
      <c r="J183" s="43" t="str">
        <f>IF(IFERROR(VLOOKUP($F183,$P:$P,1,1),0)&gt;=J$2,"o","-")</f>
        <v>-</v>
      </c>
      <c r="K183" s="43" t="str">
        <f>IF(IFERROR(VLOOKUP($F183,$P:$P,1,1),0)&gt;=K$2,"o","-")</f>
        <v>-</v>
      </c>
      <c r="L183" s="43" t="str">
        <f>IF(IFERROR(VLOOKUP($F183,$P:$P,1,1),0)&gt;=L$2,"o","-")</f>
        <v>-</v>
      </c>
      <c r="M183" s="43" t="str">
        <f>IF(IFERROR(VLOOKUP($F183,$P:$P,1,1),0)&gt;=M$2,"o","-")</f>
        <v>-</v>
      </c>
      <c r="N183" s="12">
        <f>IFERROR(VLOOKUP(F183,$P:$R,3,1),0)</f>
        <v>50000</v>
      </c>
    </row>
    <row r="184" spans="2:14">
      <c r="B184" s="9">
        <v>179</v>
      </c>
      <c r="C184" s="10" t="s">
        <v>177</v>
      </c>
      <c r="D184" s="10" t="s">
        <v>367</v>
      </c>
      <c r="E184" s="58">
        <v>31302506</v>
      </c>
      <c r="F184" s="39">
        <v>2</v>
      </c>
      <c r="G184" s="42" t="str">
        <f>IF(IFERROR(VLOOKUP($F184,$P:$P,1,1),0)&gt;=G$2,"o","-")</f>
        <v>o</v>
      </c>
      <c r="H184" s="43" t="str">
        <f>IF(IFERROR(VLOOKUP($F184,$P:$P,1,1),0)&gt;=H$2,"o","-")</f>
        <v>-</v>
      </c>
      <c r="I184" s="43" t="str">
        <f>IF(IFERROR(VLOOKUP($F184,$P:$P,1,1),0)&gt;=I$2,"o","-")</f>
        <v>-</v>
      </c>
      <c r="J184" s="43" t="str">
        <f>IF(IFERROR(VLOOKUP($F184,$P:$P,1,1),0)&gt;=J$2,"o","-")</f>
        <v>-</v>
      </c>
      <c r="K184" s="43" t="str">
        <f>IF(IFERROR(VLOOKUP($F184,$P:$P,1,1),0)&gt;=K$2,"o","-")</f>
        <v>-</v>
      </c>
      <c r="L184" s="43" t="str">
        <f>IF(IFERROR(VLOOKUP($F184,$P:$P,1,1),0)&gt;=L$2,"o","-")</f>
        <v>-</v>
      </c>
      <c r="M184" s="43" t="str">
        <f>IF(IFERROR(VLOOKUP($F184,$P:$P,1,1),0)&gt;=M$2,"o","-")</f>
        <v>-</v>
      </c>
      <c r="N184" s="12">
        <f>IFERROR(VLOOKUP(F184,$P:$R,3,1),0)</f>
        <v>50000</v>
      </c>
    </row>
    <row r="185" spans="2:14">
      <c r="B185" s="9">
        <v>180</v>
      </c>
      <c r="C185" s="10" t="s">
        <v>178</v>
      </c>
      <c r="D185" s="10" t="s">
        <v>368</v>
      </c>
      <c r="E185" s="58">
        <v>31600523</v>
      </c>
      <c r="F185" s="39">
        <v>2</v>
      </c>
      <c r="G185" s="42" t="str">
        <f>IF(IFERROR(VLOOKUP($F185,$P:$P,1,1),0)&gt;=G$2,"o","-")</f>
        <v>o</v>
      </c>
      <c r="H185" s="43" t="str">
        <f>IF(IFERROR(VLOOKUP($F185,$P:$P,1,1),0)&gt;=H$2,"o","-")</f>
        <v>-</v>
      </c>
      <c r="I185" s="43" t="str">
        <f>IF(IFERROR(VLOOKUP($F185,$P:$P,1,1),0)&gt;=I$2,"o","-")</f>
        <v>-</v>
      </c>
      <c r="J185" s="43" t="str">
        <f>IF(IFERROR(VLOOKUP($F185,$P:$P,1,1),0)&gt;=J$2,"o","-")</f>
        <v>-</v>
      </c>
      <c r="K185" s="43" t="str">
        <f>IF(IFERROR(VLOOKUP($F185,$P:$P,1,1),0)&gt;=K$2,"o","-")</f>
        <v>-</v>
      </c>
      <c r="L185" s="43" t="str">
        <f>IF(IFERROR(VLOOKUP($F185,$P:$P,1,1),0)&gt;=L$2,"o","-")</f>
        <v>-</v>
      </c>
      <c r="M185" s="43" t="str">
        <f>IF(IFERROR(VLOOKUP($F185,$P:$P,1,1),0)&gt;=M$2,"o","-")</f>
        <v>-</v>
      </c>
      <c r="N185" s="12">
        <f>IFERROR(VLOOKUP(F185,$P:$R,3,1),0)</f>
        <v>50000</v>
      </c>
    </row>
    <row r="186" spans="2:14">
      <c r="B186" s="9">
        <v>181</v>
      </c>
      <c r="C186" s="10" t="s">
        <v>179</v>
      </c>
      <c r="D186" s="10" t="s">
        <v>369</v>
      </c>
      <c r="E186" s="58">
        <v>40717371</v>
      </c>
      <c r="F186" s="39">
        <v>2</v>
      </c>
      <c r="G186" s="42" t="str">
        <f>IF(IFERROR(VLOOKUP($F186,$P:$P,1,1),0)&gt;=G$2,"o","-")</f>
        <v>o</v>
      </c>
      <c r="H186" s="43" t="str">
        <f>IF(IFERROR(VLOOKUP($F186,$P:$P,1,1),0)&gt;=H$2,"o","-")</f>
        <v>-</v>
      </c>
      <c r="I186" s="43" t="str">
        <f>IF(IFERROR(VLOOKUP($F186,$P:$P,1,1),0)&gt;=I$2,"o","-")</f>
        <v>-</v>
      </c>
      <c r="J186" s="43" t="str">
        <f>IF(IFERROR(VLOOKUP($F186,$P:$P,1,1),0)&gt;=J$2,"o","-")</f>
        <v>-</v>
      </c>
      <c r="K186" s="43" t="str">
        <f>IF(IFERROR(VLOOKUP($F186,$P:$P,1,1),0)&gt;=K$2,"o","-")</f>
        <v>-</v>
      </c>
      <c r="L186" s="43" t="str">
        <f>IF(IFERROR(VLOOKUP($F186,$P:$P,1,1),0)&gt;=L$2,"o","-")</f>
        <v>-</v>
      </c>
      <c r="M186" s="43" t="str">
        <f>IF(IFERROR(VLOOKUP($F186,$P:$P,1,1),0)&gt;=M$2,"o","-")</f>
        <v>-</v>
      </c>
      <c r="N186" s="12">
        <f>IFERROR(VLOOKUP(F186,$P:$R,3,1),0)</f>
        <v>50000</v>
      </c>
    </row>
    <row r="187" spans="2:14">
      <c r="B187" s="9">
        <v>182</v>
      </c>
      <c r="C187" s="10" t="s">
        <v>180</v>
      </c>
      <c r="D187" s="10" t="s">
        <v>370</v>
      </c>
      <c r="E187" s="58">
        <v>41800593</v>
      </c>
      <c r="F187" s="39">
        <v>2</v>
      </c>
      <c r="G187" s="42" t="str">
        <f>IF(IFERROR(VLOOKUP($F187,$P:$P,1,1),0)&gt;=G$2,"o","-")</f>
        <v>o</v>
      </c>
      <c r="H187" s="43" t="str">
        <f>IF(IFERROR(VLOOKUP($F187,$P:$P,1,1),0)&gt;=H$2,"o","-")</f>
        <v>-</v>
      </c>
      <c r="I187" s="43" t="str">
        <f>IF(IFERROR(VLOOKUP($F187,$P:$P,1,1),0)&gt;=I$2,"o","-")</f>
        <v>-</v>
      </c>
      <c r="J187" s="43" t="str">
        <f>IF(IFERROR(VLOOKUP($F187,$P:$P,1,1),0)&gt;=J$2,"o","-")</f>
        <v>-</v>
      </c>
      <c r="K187" s="43" t="str">
        <f>IF(IFERROR(VLOOKUP($F187,$P:$P,1,1),0)&gt;=K$2,"o","-")</f>
        <v>-</v>
      </c>
      <c r="L187" s="43" t="str">
        <f>IF(IFERROR(VLOOKUP($F187,$P:$P,1,1),0)&gt;=L$2,"o","-")</f>
        <v>-</v>
      </c>
      <c r="M187" s="43" t="str">
        <f>IF(IFERROR(VLOOKUP($F187,$P:$P,1,1),0)&gt;=M$2,"o","-")</f>
        <v>-</v>
      </c>
      <c r="N187" s="12">
        <f>IFERROR(VLOOKUP(F187,$P:$R,3,1),0)</f>
        <v>50000</v>
      </c>
    </row>
    <row r="188" spans="2:14">
      <c r="B188" s="9">
        <v>183</v>
      </c>
      <c r="C188" s="10" t="s">
        <v>181</v>
      </c>
      <c r="D188" s="10" t="s">
        <v>371</v>
      </c>
      <c r="E188" s="58">
        <v>31301723</v>
      </c>
      <c r="F188" s="39">
        <v>2</v>
      </c>
      <c r="G188" s="42" t="str">
        <f>IF(IFERROR(VLOOKUP($F188,$P:$P,1,1),0)&gt;=G$2,"o","-")</f>
        <v>o</v>
      </c>
      <c r="H188" s="43" t="str">
        <f>IF(IFERROR(VLOOKUP($F188,$P:$P,1,1),0)&gt;=H$2,"o","-")</f>
        <v>-</v>
      </c>
      <c r="I188" s="43" t="str">
        <f>IF(IFERROR(VLOOKUP($F188,$P:$P,1,1),0)&gt;=I$2,"o","-")</f>
        <v>-</v>
      </c>
      <c r="J188" s="43" t="str">
        <f>IF(IFERROR(VLOOKUP($F188,$P:$P,1,1),0)&gt;=J$2,"o","-")</f>
        <v>-</v>
      </c>
      <c r="K188" s="43" t="str">
        <f>IF(IFERROR(VLOOKUP($F188,$P:$P,1,1),0)&gt;=K$2,"o","-")</f>
        <v>-</v>
      </c>
      <c r="L188" s="43" t="str">
        <f>IF(IFERROR(VLOOKUP($F188,$P:$P,1,1),0)&gt;=L$2,"o","-")</f>
        <v>-</v>
      </c>
      <c r="M188" s="43" t="str">
        <f>IF(IFERROR(VLOOKUP($F188,$P:$P,1,1),0)&gt;=M$2,"o","-")</f>
        <v>-</v>
      </c>
      <c r="N188" s="12">
        <f>IFERROR(VLOOKUP(F188,$P:$R,3,1),0)</f>
        <v>50000</v>
      </c>
    </row>
    <row r="189" spans="2:14">
      <c r="B189" s="9">
        <v>184</v>
      </c>
      <c r="C189" s="10" t="s">
        <v>182</v>
      </c>
      <c r="D189" s="10" t="s">
        <v>372</v>
      </c>
      <c r="E189" s="58">
        <v>31301714</v>
      </c>
      <c r="F189" s="39">
        <v>2</v>
      </c>
      <c r="G189" s="42" t="str">
        <f>IF(IFERROR(VLOOKUP($F189,$P:$P,1,1),0)&gt;=G$2,"o","-")</f>
        <v>o</v>
      </c>
      <c r="H189" s="43" t="str">
        <f>IF(IFERROR(VLOOKUP($F189,$P:$P,1,1),0)&gt;=H$2,"o","-")</f>
        <v>-</v>
      </c>
      <c r="I189" s="43" t="str">
        <f>IF(IFERROR(VLOOKUP($F189,$P:$P,1,1),0)&gt;=I$2,"o","-")</f>
        <v>-</v>
      </c>
      <c r="J189" s="43" t="str">
        <f>IF(IFERROR(VLOOKUP($F189,$P:$P,1,1),0)&gt;=J$2,"o","-")</f>
        <v>-</v>
      </c>
      <c r="K189" s="43" t="str">
        <f>IF(IFERROR(VLOOKUP($F189,$P:$P,1,1),0)&gt;=K$2,"o","-")</f>
        <v>-</v>
      </c>
      <c r="L189" s="43" t="str">
        <f>IF(IFERROR(VLOOKUP($F189,$P:$P,1,1),0)&gt;=L$2,"o","-")</f>
        <v>-</v>
      </c>
      <c r="M189" s="43" t="str">
        <f>IF(IFERROR(VLOOKUP($F189,$P:$P,1,1),0)&gt;=M$2,"o","-")</f>
        <v>-</v>
      </c>
      <c r="N189" s="12">
        <f>IFERROR(VLOOKUP(F189,$P:$R,3,1),0)</f>
        <v>50000</v>
      </c>
    </row>
    <row r="190" spans="2:14">
      <c r="B190" s="9">
        <v>185</v>
      </c>
      <c r="C190" s="10" t="s">
        <v>183</v>
      </c>
      <c r="D190" s="10" t="s">
        <v>373</v>
      </c>
      <c r="E190" s="58">
        <v>40717065</v>
      </c>
      <c r="F190" s="39">
        <v>2</v>
      </c>
      <c r="G190" s="42" t="str">
        <f>IF(IFERROR(VLOOKUP($F190,$P:$P,1,1),0)&gt;=G$2,"o","-")</f>
        <v>o</v>
      </c>
      <c r="H190" s="43" t="str">
        <f>IF(IFERROR(VLOOKUP($F190,$P:$P,1,1),0)&gt;=H$2,"o","-")</f>
        <v>-</v>
      </c>
      <c r="I190" s="43" t="str">
        <f>IF(IFERROR(VLOOKUP($F190,$P:$P,1,1),0)&gt;=I$2,"o","-")</f>
        <v>-</v>
      </c>
      <c r="J190" s="43" t="str">
        <f>IF(IFERROR(VLOOKUP($F190,$P:$P,1,1),0)&gt;=J$2,"o","-")</f>
        <v>-</v>
      </c>
      <c r="K190" s="43" t="str">
        <f>IF(IFERROR(VLOOKUP($F190,$P:$P,1,1),0)&gt;=K$2,"o","-")</f>
        <v>-</v>
      </c>
      <c r="L190" s="43" t="str">
        <f>IF(IFERROR(VLOOKUP($F190,$P:$P,1,1),0)&gt;=L$2,"o","-")</f>
        <v>-</v>
      </c>
      <c r="M190" s="43" t="str">
        <f>IF(IFERROR(VLOOKUP($F190,$P:$P,1,1),0)&gt;=M$2,"o","-")</f>
        <v>-</v>
      </c>
      <c r="N190" s="12">
        <f>IFERROR(VLOOKUP(F190,$P:$R,3,1),0)</f>
        <v>50000</v>
      </c>
    </row>
    <row r="191" spans="2:14">
      <c r="B191" s="9">
        <v>186</v>
      </c>
      <c r="C191" s="10" t="s">
        <v>184</v>
      </c>
      <c r="D191" s="10" t="s">
        <v>374</v>
      </c>
      <c r="E191" s="58">
        <v>40731744</v>
      </c>
      <c r="F191" s="39">
        <v>2</v>
      </c>
      <c r="G191" s="42" t="str">
        <f>IF(IFERROR(VLOOKUP($F191,$P:$P,1,1),0)&gt;=G$2,"o","-")</f>
        <v>o</v>
      </c>
      <c r="H191" s="43" t="str">
        <f>IF(IFERROR(VLOOKUP($F191,$P:$P,1,1),0)&gt;=H$2,"o","-")</f>
        <v>-</v>
      </c>
      <c r="I191" s="43" t="str">
        <f>IF(IFERROR(VLOOKUP($F191,$P:$P,1,1),0)&gt;=I$2,"o","-")</f>
        <v>-</v>
      </c>
      <c r="J191" s="43" t="str">
        <f>IF(IFERROR(VLOOKUP($F191,$P:$P,1,1),0)&gt;=J$2,"o","-")</f>
        <v>-</v>
      </c>
      <c r="K191" s="43" t="str">
        <f>IF(IFERROR(VLOOKUP($F191,$P:$P,1,1),0)&gt;=K$2,"o","-")</f>
        <v>-</v>
      </c>
      <c r="L191" s="43" t="str">
        <f>IF(IFERROR(VLOOKUP($F191,$P:$P,1,1),0)&gt;=L$2,"o","-")</f>
        <v>-</v>
      </c>
      <c r="M191" s="43" t="str">
        <f>IF(IFERROR(VLOOKUP($F191,$P:$P,1,1),0)&gt;=M$2,"o","-")</f>
        <v>-</v>
      </c>
      <c r="N191" s="12">
        <f>IFERROR(VLOOKUP(F191,$P:$R,3,1),0)</f>
        <v>50000</v>
      </c>
    </row>
    <row r="192" spans="2:14">
      <c r="B192" s="9">
        <v>187</v>
      </c>
      <c r="C192" s="10" t="s">
        <v>185</v>
      </c>
      <c r="D192" s="10" t="s">
        <v>375</v>
      </c>
      <c r="E192" s="58">
        <v>41805480</v>
      </c>
      <c r="F192" s="39">
        <v>2</v>
      </c>
      <c r="G192" s="42" t="str">
        <f>IF(IFERROR(VLOOKUP($F192,$P:$P,1,1),0)&gt;=G$2,"o","-")</f>
        <v>o</v>
      </c>
      <c r="H192" s="43" t="str">
        <f>IF(IFERROR(VLOOKUP($F192,$P:$P,1,1),0)&gt;=H$2,"o","-")</f>
        <v>-</v>
      </c>
      <c r="I192" s="43" t="str">
        <f>IF(IFERROR(VLOOKUP($F192,$P:$P,1,1),0)&gt;=I$2,"o","-")</f>
        <v>-</v>
      </c>
      <c r="J192" s="43" t="str">
        <f>IF(IFERROR(VLOOKUP($F192,$P:$P,1,1),0)&gt;=J$2,"o","-")</f>
        <v>-</v>
      </c>
      <c r="K192" s="43" t="str">
        <f>IF(IFERROR(VLOOKUP($F192,$P:$P,1,1),0)&gt;=K$2,"o","-")</f>
        <v>-</v>
      </c>
      <c r="L192" s="43" t="str">
        <f>IF(IFERROR(VLOOKUP($F192,$P:$P,1,1),0)&gt;=L$2,"o","-")</f>
        <v>-</v>
      </c>
      <c r="M192" s="43" t="str">
        <f>IF(IFERROR(VLOOKUP($F192,$P:$P,1,1),0)&gt;=M$2,"o","-")</f>
        <v>-</v>
      </c>
      <c r="N192" s="12">
        <f>IFERROR(VLOOKUP(F192,$P:$R,3,1),0)</f>
        <v>50000</v>
      </c>
    </row>
    <row r="193" spans="2:14">
      <c r="B193" s="9">
        <v>188</v>
      </c>
      <c r="C193" s="10" t="s">
        <v>186</v>
      </c>
      <c r="D193" s="10" t="s">
        <v>376</v>
      </c>
      <c r="E193" s="58">
        <v>42403863</v>
      </c>
      <c r="F193" s="39">
        <v>2</v>
      </c>
      <c r="G193" s="42" t="str">
        <f>IF(IFERROR(VLOOKUP($F193,$P:$P,1,1),0)&gt;=G$2,"o","-")</f>
        <v>o</v>
      </c>
      <c r="H193" s="43" t="str">
        <f>IF(IFERROR(VLOOKUP($F193,$P:$P,1,1),0)&gt;=H$2,"o","-")</f>
        <v>-</v>
      </c>
      <c r="I193" s="43" t="str">
        <f>IF(IFERROR(VLOOKUP($F193,$P:$P,1,1),0)&gt;=I$2,"o","-")</f>
        <v>-</v>
      </c>
      <c r="J193" s="43" t="str">
        <f>IF(IFERROR(VLOOKUP($F193,$P:$P,1,1),0)&gt;=J$2,"o","-")</f>
        <v>-</v>
      </c>
      <c r="K193" s="43" t="str">
        <f>IF(IFERROR(VLOOKUP($F193,$P:$P,1,1),0)&gt;=K$2,"o","-")</f>
        <v>-</v>
      </c>
      <c r="L193" s="43" t="str">
        <f>IF(IFERROR(VLOOKUP($F193,$P:$P,1,1),0)&gt;=L$2,"o","-")</f>
        <v>-</v>
      </c>
      <c r="M193" s="43" t="str">
        <f>IF(IFERROR(VLOOKUP($F193,$P:$P,1,1),0)&gt;=M$2,"o","-")</f>
        <v>-</v>
      </c>
      <c r="N193" s="12">
        <f>IFERROR(VLOOKUP(F193,$P:$R,3,1),0)</f>
        <v>50000</v>
      </c>
    </row>
    <row r="194" spans="2:14">
      <c r="B194" s="45">
        <v>189</v>
      </c>
      <c r="C194" s="46" t="s">
        <v>187</v>
      </c>
      <c r="D194" s="46" t="s">
        <v>377</v>
      </c>
      <c r="E194" s="46">
        <v>41206359</v>
      </c>
      <c r="F194" s="47">
        <v>2</v>
      </c>
      <c r="G194" s="48" t="str">
        <f>IF(IFERROR(VLOOKUP($F194,$P:$P,1,1),0)&gt;=G$2,"o","-")</f>
        <v>o</v>
      </c>
      <c r="H194" s="49" t="str">
        <f>IF(IFERROR(VLOOKUP($F194,$P:$P,1,1),0)&gt;=H$2,"o","-")</f>
        <v>-</v>
      </c>
      <c r="I194" s="49" t="str">
        <f>IF(IFERROR(VLOOKUP($F194,$P:$P,1,1),0)&gt;=I$2,"o","-")</f>
        <v>-</v>
      </c>
      <c r="J194" s="49" t="str">
        <f>IF(IFERROR(VLOOKUP($F194,$P:$P,1,1),0)&gt;=J$2,"o","-")</f>
        <v>-</v>
      </c>
      <c r="K194" s="49" t="str">
        <f>IF(IFERROR(VLOOKUP($F194,$P:$P,1,1),0)&gt;=K$2,"o","-")</f>
        <v>-</v>
      </c>
      <c r="L194" s="49" t="str">
        <f>IF(IFERROR(VLOOKUP($F194,$P:$P,1,1),0)&gt;=L$2,"o","-")</f>
        <v>-</v>
      </c>
      <c r="M194" s="49" t="str">
        <f>IF(IFERROR(VLOOKUP($F194,$P:$P,1,1),0)&gt;=M$2,"o","-")</f>
        <v>-</v>
      </c>
      <c r="N194" s="50">
        <f>IFERROR(VLOOKUP(F194,$P:$R,3,1),0)</f>
        <v>50000</v>
      </c>
    </row>
  </sheetData>
  <autoFilter ref="B4:N194" xr:uid="{6F1C0DDA-2BD2-4568-8425-FACCAC33E3CE}"/>
  <mergeCells count="2">
    <mergeCell ref="G3:N3"/>
    <mergeCell ref="B5:C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C8-DDC0-4BC5-85B4-420FBFA0F25A}">
  <dimension ref="B1:Z313"/>
  <sheetViews>
    <sheetView showGridLines="0" tabSelected="1" workbookViewId="0"/>
  </sheetViews>
  <sheetFormatPr defaultRowHeight="16.5"/>
  <cols>
    <col min="1" max="1" width="4.375" customWidth="1"/>
    <col min="2" max="2" width="6" style="11" customWidth="1"/>
    <col min="3" max="3" width="11.125" customWidth="1"/>
    <col min="4" max="4" width="12.75" bestFit="1" customWidth="1"/>
    <col min="5" max="5" width="12.75" hidden="1" customWidth="1"/>
    <col min="6" max="7" width="8.125" customWidth="1"/>
    <col min="8" max="11" width="8.125" hidden="1" customWidth="1"/>
    <col min="12" max="18" width="9.75" style="11" customWidth="1"/>
    <col min="19" max="19" width="15" customWidth="1"/>
    <col min="20" max="20" width="9" customWidth="1"/>
    <col min="22" max="22" width="10.875" style="13" bestFit="1" customWidth="1"/>
    <col min="23" max="23" width="10.875" bestFit="1" customWidth="1"/>
  </cols>
  <sheetData>
    <row r="1" spans="2:26" ht="17.25">
      <c r="B1" s="18" t="s">
        <v>951</v>
      </c>
      <c r="L1" s="88"/>
    </row>
    <row r="2" spans="2:26">
      <c r="L2" s="44">
        <v>2</v>
      </c>
      <c r="M2" s="44">
        <v>4</v>
      </c>
      <c r="N2" s="44">
        <v>6</v>
      </c>
      <c r="O2" s="44">
        <v>8</v>
      </c>
      <c r="P2" s="44">
        <v>10</v>
      </c>
      <c r="Q2" s="44">
        <v>15</v>
      </c>
      <c r="R2" s="44">
        <v>20</v>
      </c>
      <c r="U2" s="14"/>
      <c r="V2" s="15"/>
      <c r="W2" s="14"/>
    </row>
    <row r="3" spans="2:26">
      <c r="B3" s="1" t="s">
        <v>380</v>
      </c>
      <c r="C3" s="3" t="s">
        <v>0</v>
      </c>
      <c r="D3" s="2" t="s">
        <v>378</v>
      </c>
      <c r="E3" s="3" t="s">
        <v>461</v>
      </c>
      <c r="F3" s="59" t="s">
        <v>948</v>
      </c>
      <c r="G3" s="60"/>
      <c r="H3" s="60"/>
      <c r="I3" s="60"/>
      <c r="J3" s="60"/>
      <c r="K3" s="61"/>
      <c r="L3" s="59" t="s">
        <v>949</v>
      </c>
      <c r="M3" s="60"/>
      <c r="N3" s="60"/>
      <c r="O3" s="60"/>
      <c r="P3" s="60"/>
      <c r="Q3" s="60"/>
      <c r="R3" s="60"/>
      <c r="S3" s="61"/>
      <c r="T3" s="35"/>
      <c r="U3" s="35">
        <v>2</v>
      </c>
      <c r="V3" s="40">
        <v>50000</v>
      </c>
      <c r="W3" s="41">
        <f>V3</f>
        <v>50000</v>
      </c>
      <c r="X3" s="35"/>
      <c r="Y3" s="35"/>
      <c r="Z3" s="35"/>
    </row>
    <row r="4" spans="2:26" ht="17.25" thickBot="1">
      <c r="B4" s="4"/>
      <c r="C4" s="6"/>
      <c r="D4" s="5"/>
      <c r="E4" s="6"/>
      <c r="F4" s="83" t="s">
        <v>942</v>
      </c>
      <c r="G4" s="78" t="s">
        <v>943</v>
      </c>
      <c r="H4" s="78" t="s">
        <v>944</v>
      </c>
      <c r="I4" s="78" t="s">
        <v>945</v>
      </c>
      <c r="J4" s="78" t="s">
        <v>946</v>
      </c>
      <c r="K4" s="79" t="s">
        <v>947</v>
      </c>
      <c r="L4" s="53" t="s">
        <v>453</v>
      </c>
      <c r="M4" s="7" t="s">
        <v>454</v>
      </c>
      <c r="N4" s="7" t="s">
        <v>455</v>
      </c>
      <c r="O4" s="7" t="s">
        <v>456</v>
      </c>
      <c r="P4" s="7" t="s">
        <v>457</v>
      </c>
      <c r="Q4" s="7" t="s">
        <v>458</v>
      </c>
      <c r="R4" s="7" t="s">
        <v>459</v>
      </c>
      <c r="S4" s="8" t="s">
        <v>950</v>
      </c>
      <c r="T4" s="35"/>
      <c r="U4" s="35">
        <v>4</v>
      </c>
      <c r="V4" s="40">
        <v>100000</v>
      </c>
      <c r="W4" s="41">
        <f>V3+V4</f>
        <v>150000</v>
      </c>
      <c r="X4" s="35"/>
      <c r="Y4" s="35"/>
      <c r="Z4" s="35"/>
    </row>
    <row r="5" spans="2:26" ht="17.25" thickBot="1">
      <c r="B5" s="86"/>
      <c r="C5" s="87" t="s">
        <v>379</v>
      </c>
      <c r="D5" s="19">
        <f>COUNTA(C6:C194)</f>
        <v>189</v>
      </c>
      <c r="E5" s="19"/>
      <c r="F5" s="84"/>
      <c r="G5" s="57"/>
      <c r="H5" s="57"/>
      <c r="I5" s="57"/>
      <c r="J5" s="57"/>
      <c r="K5" s="80"/>
      <c r="L5" s="89">
        <f>COUNTIFS(L6:L9999,"o")</f>
        <v>246</v>
      </c>
      <c r="M5" s="90">
        <f t="shared" ref="M5:R5" si="0">COUNTIFS(M6:M9999,"o")</f>
        <v>80</v>
      </c>
      <c r="N5" s="90">
        <f t="shared" si="0"/>
        <v>11</v>
      </c>
      <c r="O5" s="90">
        <f t="shared" si="0"/>
        <v>2</v>
      </c>
      <c r="P5" s="90">
        <f t="shared" si="0"/>
        <v>0</v>
      </c>
      <c r="Q5" s="90">
        <f t="shared" si="0"/>
        <v>0</v>
      </c>
      <c r="R5" s="90">
        <f t="shared" si="0"/>
        <v>0</v>
      </c>
      <c r="S5" s="37">
        <f>SUM(S6:S9999)</f>
        <v>23300000</v>
      </c>
      <c r="T5" s="41"/>
      <c r="U5" s="35">
        <v>6</v>
      </c>
      <c r="V5" s="40">
        <v>200000</v>
      </c>
      <c r="W5" s="41">
        <f>V3+V4+V5</f>
        <v>350000</v>
      </c>
      <c r="X5" s="35"/>
      <c r="Y5" s="35"/>
      <c r="Z5" s="35"/>
    </row>
    <row r="6" spans="2:26">
      <c r="B6" s="16">
        <v>1</v>
      </c>
      <c r="C6" s="17" t="s">
        <v>15</v>
      </c>
      <c r="D6" s="17" t="s">
        <v>203</v>
      </c>
      <c r="E6" s="82">
        <v>31903040</v>
      </c>
      <c r="F6" s="85">
        <f>IFERROR(VLOOKUP(D6,'1월'!D:F,3,0),)</f>
        <v>2</v>
      </c>
      <c r="G6" s="58">
        <v>8</v>
      </c>
      <c r="H6" s="58"/>
      <c r="I6" s="58"/>
      <c r="J6" s="58"/>
      <c r="K6" s="81"/>
      <c r="L6" s="42" t="str">
        <f>IF($F6&gt;=L$2,"-",IF(IFERROR(VLOOKUP($G6,$U:$U,1,1),0)&gt;=L$2,"o","-"))</f>
        <v>-</v>
      </c>
      <c r="M6" s="42" t="str">
        <f>IF($F6&gt;=M$2,"-",IF(IFERROR(VLOOKUP($G6,$U:$U,1,1),0)&gt;=M$2,"o","-"))</f>
        <v>o</v>
      </c>
      <c r="N6" s="42" t="str">
        <f>IF($F6&gt;=N$2,"-",IF(IFERROR(VLOOKUP($G6,$U:$U,1,1),0)&gt;=N$2,"o","-"))</f>
        <v>o</v>
      </c>
      <c r="O6" s="42" t="str">
        <f>IF($F6&gt;=O$2,"-",IF(IFERROR(VLOOKUP($G6,$U:$U,1,1),0)&gt;=O$2,"o","-"))</f>
        <v>o</v>
      </c>
      <c r="P6" s="42" t="str">
        <f>IF($F6&gt;=P$2,"-",IF(IFERROR(VLOOKUP($G6,$U:$U,1,1),0)&gt;=P$2,"o","-"))</f>
        <v>-</v>
      </c>
      <c r="Q6" s="42" t="str">
        <f>IF($F6&gt;=Q$2,"-",IF(IFERROR(VLOOKUP($G6,$U:$U,1,1),0)&gt;=Q$2,"o","-"))</f>
        <v>-</v>
      </c>
      <c r="R6" s="42" t="str">
        <f>IF($F6&gt;=R$2,"-",IF(IFERROR(VLOOKUP($G6,$U:$U,1,1),0)&gt;=R$2,"o","-"))</f>
        <v>-</v>
      </c>
      <c r="S6" s="12">
        <f>IF(L6="o",50000,0)+IF(M6="o",100000,0)+IF(N6="o",200000,0)+IF(O6="o",400000,0)+IF(P6="o",600000,0)+IF(Q6="o",1000000,0)+IF(R6="o",2000000,0)</f>
        <v>700000</v>
      </c>
      <c r="T6" s="41"/>
      <c r="U6" s="35">
        <v>8</v>
      </c>
      <c r="V6" s="40">
        <v>400000</v>
      </c>
      <c r="W6" s="41">
        <f>V3+V4+V5+V6</f>
        <v>750000</v>
      </c>
      <c r="X6" s="35"/>
      <c r="Y6" s="35"/>
      <c r="Z6" s="35"/>
    </row>
    <row r="7" spans="2:26">
      <c r="B7" s="9">
        <v>2</v>
      </c>
      <c r="C7" s="10" t="s">
        <v>1</v>
      </c>
      <c r="D7" s="10" t="s">
        <v>189</v>
      </c>
      <c r="E7" s="82">
        <v>31902942</v>
      </c>
      <c r="F7" s="85">
        <f>IFERROR(VLOOKUP(D7,'1월'!D:F,3,0),)</f>
        <v>6</v>
      </c>
      <c r="G7" s="58">
        <v>8</v>
      </c>
      <c r="H7" s="58"/>
      <c r="I7" s="58"/>
      <c r="J7" s="58"/>
      <c r="K7" s="81"/>
      <c r="L7" s="42" t="str">
        <f>IF($F7&gt;=L$2,"-",IF(IFERROR(VLOOKUP($G7,$U:$U,1,1),0)&gt;=L$2,"o","-"))</f>
        <v>-</v>
      </c>
      <c r="M7" s="42" t="str">
        <f>IF($F7&gt;=M$2,"-",IF(IFERROR(VLOOKUP($G7,$U:$U,1,1),0)&gt;=M$2,"o","-"))</f>
        <v>-</v>
      </c>
      <c r="N7" s="42" t="str">
        <f>IF($F7&gt;=N$2,"-",IF(IFERROR(VLOOKUP($G7,$U:$U,1,1),0)&gt;=N$2,"o","-"))</f>
        <v>-</v>
      </c>
      <c r="O7" s="42" t="str">
        <f>IF($F7&gt;=O$2,"-",IF(IFERROR(VLOOKUP($G7,$U:$U,1,1),0)&gt;=O$2,"o","-"))</f>
        <v>o</v>
      </c>
      <c r="P7" s="42" t="str">
        <f>IF($F7&gt;=P$2,"-",IF(IFERROR(VLOOKUP($G7,$U:$U,1,1),0)&gt;=P$2,"o","-"))</f>
        <v>-</v>
      </c>
      <c r="Q7" s="42" t="str">
        <f>IF($F7&gt;=Q$2,"-",IF(IFERROR(VLOOKUP($G7,$U:$U,1,1),0)&gt;=Q$2,"o","-"))</f>
        <v>-</v>
      </c>
      <c r="R7" s="42" t="str">
        <f>IF($F7&gt;=R$2,"-",IF(IFERROR(VLOOKUP($G7,$U:$U,1,1),0)&gt;=R$2,"o","-"))</f>
        <v>-</v>
      </c>
      <c r="S7" s="12">
        <f>IF(L7="o",50000,0)+IF(M7="o",100000,0)+IF(N7="o",200000,0)+IF(O7="o",400000,0)+IF(P7="o",600000,0)+IF(Q7="o",1000000,0)+IF(R7="o",2000000,0)</f>
        <v>400000</v>
      </c>
      <c r="T7" s="41"/>
      <c r="U7" s="35">
        <v>10</v>
      </c>
      <c r="V7" s="40">
        <v>600000</v>
      </c>
      <c r="W7" s="41">
        <f>V3+V4+V5+V6+V7</f>
        <v>1350000</v>
      </c>
      <c r="X7" s="35"/>
      <c r="Y7" s="35"/>
      <c r="Z7" s="35"/>
    </row>
    <row r="8" spans="2:26">
      <c r="B8" s="9">
        <v>3</v>
      </c>
      <c r="C8" s="10" t="s">
        <v>462</v>
      </c>
      <c r="D8" s="10" t="s">
        <v>696</v>
      </c>
      <c r="E8" s="82">
        <v>42201308</v>
      </c>
      <c r="F8" s="85">
        <f>IFERROR(VLOOKUP(D8,'1월'!D:F,3,0),)</f>
        <v>0</v>
      </c>
      <c r="G8" s="58">
        <v>6</v>
      </c>
      <c r="H8" s="58"/>
      <c r="I8" s="58"/>
      <c r="J8" s="58"/>
      <c r="K8" s="81"/>
      <c r="L8" s="42" t="str">
        <f>IF($F8&gt;=L$2,"-",IF(IFERROR(VLOOKUP($G8,$U:$U,1,1),0)&gt;=L$2,"o","-"))</f>
        <v>o</v>
      </c>
      <c r="M8" s="42" t="str">
        <f>IF($F8&gt;=M$2,"-",IF(IFERROR(VLOOKUP($G8,$U:$U,1,1),0)&gt;=M$2,"o","-"))</f>
        <v>o</v>
      </c>
      <c r="N8" s="42" t="str">
        <f>IF($F8&gt;=N$2,"-",IF(IFERROR(VLOOKUP($G8,$U:$U,1,1),0)&gt;=N$2,"o","-"))</f>
        <v>o</v>
      </c>
      <c r="O8" s="42" t="str">
        <f>IF($F8&gt;=O$2,"-",IF(IFERROR(VLOOKUP($G8,$U:$U,1,1),0)&gt;=O$2,"o","-"))</f>
        <v>-</v>
      </c>
      <c r="P8" s="42" t="str">
        <f>IF($F8&gt;=P$2,"-",IF(IFERROR(VLOOKUP($G8,$U:$U,1,1),0)&gt;=P$2,"o","-"))</f>
        <v>-</v>
      </c>
      <c r="Q8" s="42" t="str">
        <f>IF($F8&gt;=Q$2,"-",IF(IFERROR(VLOOKUP($G8,$U:$U,1,1),0)&gt;=Q$2,"o","-"))</f>
        <v>-</v>
      </c>
      <c r="R8" s="42" t="str">
        <f>IF($F8&gt;=R$2,"-",IF(IFERROR(VLOOKUP($G8,$U:$U,1,1),0)&gt;=R$2,"o","-"))</f>
        <v>-</v>
      </c>
      <c r="S8" s="12">
        <f>IF(L8="o",50000,0)+IF(M8="o",100000,0)+IF(N8="o",200000,0)+IF(O8="o",400000,0)+IF(P8="o",600000,0)+IF(Q8="o",1000000,0)+IF(R8="o",2000000,0)</f>
        <v>350000</v>
      </c>
      <c r="T8" s="41"/>
      <c r="U8" s="35">
        <v>15</v>
      </c>
      <c r="V8" s="40">
        <v>1000000</v>
      </c>
      <c r="W8" s="41">
        <f>V3+V4+V5+V6+V7+V8</f>
        <v>2350000</v>
      </c>
      <c r="X8" s="35"/>
      <c r="Y8" s="35"/>
      <c r="Z8" s="35"/>
    </row>
    <row r="9" spans="2:26">
      <c r="B9" s="9">
        <v>4</v>
      </c>
      <c r="C9" s="10" t="s">
        <v>463</v>
      </c>
      <c r="D9" s="10" t="s">
        <v>697</v>
      </c>
      <c r="E9" s="82">
        <v>32406717</v>
      </c>
      <c r="F9" s="85">
        <f>IFERROR(VLOOKUP(D9,'1월'!D:F,3,0),)</f>
        <v>0</v>
      </c>
      <c r="G9" s="58">
        <v>6</v>
      </c>
      <c r="H9" s="58"/>
      <c r="I9" s="58"/>
      <c r="J9" s="58"/>
      <c r="K9" s="81"/>
      <c r="L9" s="42" t="str">
        <f>IF($F9&gt;=L$2,"-",IF(IFERROR(VLOOKUP($G9,$U:$U,1,1),0)&gt;=L$2,"o","-"))</f>
        <v>o</v>
      </c>
      <c r="M9" s="42" t="str">
        <f>IF($F9&gt;=M$2,"-",IF(IFERROR(VLOOKUP($G9,$U:$U,1,1),0)&gt;=M$2,"o","-"))</f>
        <v>o</v>
      </c>
      <c r="N9" s="42" t="str">
        <f>IF($F9&gt;=N$2,"-",IF(IFERROR(VLOOKUP($G9,$U:$U,1,1),0)&gt;=N$2,"o","-"))</f>
        <v>o</v>
      </c>
      <c r="O9" s="42" t="str">
        <f>IF($F9&gt;=O$2,"-",IF(IFERROR(VLOOKUP($G9,$U:$U,1,1),0)&gt;=O$2,"o","-"))</f>
        <v>-</v>
      </c>
      <c r="P9" s="42" t="str">
        <f>IF($F9&gt;=P$2,"-",IF(IFERROR(VLOOKUP($G9,$U:$U,1,1),0)&gt;=P$2,"o","-"))</f>
        <v>-</v>
      </c>
      <c r="Q9" s="42" t="str">
        <f>IF($F9&gt;=Q$2,"-",IF(IFERROR(VLOOKUP($G9,$U:$U,1,1),0)&gt;=Q$2,"o","-"))</f>
        <v>-</v>
      </c>
      <c r="R9" s="42" t="str">
        <f>IF($F9&gt;=R$2,"-",IF(IFERROR(VLOOKUP($G9,$U:$U,1,1),0)&gt;=R$2,"o","-"))</f>
        <v>-</v>
      </c>
      <c r="S9" s="12">
        <f>IF(L9="o",50000,0)+IF(M9="o",100000,0)+IF(N9="o",200000,0)+IF(O9="o",400000,0)+IF(P9="o",600000,0)+IF(Q9="o",1000000,0)+IF(R9="o",2000000,0)</f>
        <v>350000</v>
      </c>
      <c r="T9" s="35"/>
      <c r="U9" s="35">
        <v>20</v>
      </c>
      <c r="V9" s="40">
        <v>2000000</v>
      </c>
      <c r="W9" s="41">
        <f>V3+V4+V5+V6+V7+V8+V9</f>
        <v>4350000</v>
      </c>
      <c r="X9" s="35"/>
      <c r="Y9" s="35"/>
      <c r="Z9" s="35"/>
    </row>
    <row r="10" spans="2:26">
      <c r="B10" s="9">
        <v>5</v>
      </c>
      <c r="C10" s="10" t="s">
        <v>118</v>
      </c>
      <c r="D10" s="10" t="s">
        <v>307</v>
      </c>
      <c r="E10" s="82">
        <v>41901041</v>
      </c>
      <c r="F10" s="85">
        <f>IFERROR(VLOOKUP(D10,'1월'!D:F,3,0),)</f>
        <v>2</v>
      </c>
      <c r="G10" s="58">
        <v>6</v>
      </c>
      <c r="H10" s="58"/>
      <c r="I10" s="58"/>
      <c r="J10" s="58"/>
      <c r="K10" s="81"/>
      <c r="L10" s="42" t="str">
        <f>IF($F10&gt;=L$2,"-",IF(IFERROR(VLOOKUP($G10,$U:$U,1,1),0)&gt;=L$2,"o","-"))</f>
        <v>-</v>
      </c>
      <c r="M10" s="42" t="str">
        <f>IF($F10&gt;=M$2,"-",IF(IFERROR(VLOOKUP($G10,$U:$U,1,1),0)&gt;=M$2,"o","-"))</f>
        <v>o</v>
      </c>
      <c r="N10" s="42" t="str">
        <f>IF($F10&gt;=N$2,"-",IF(IFERROR(VLOOKUP($G10,$U:$U,1,1),0)&gt;=N$2,"o","-"))</f>
        <v>o</v>
      </c>
      <c r="O10" s="42" t="str">
        <f>IF($F10&gt;=O$2,"-",IF(IFERROR(VLOOKUP($G10,$U:$U,1,1),0)&gt;=O$2,"o","-"))</f>
        <v>-</v>
      </c>
      <c r="P10" s="42" t="str">
        <f>IF($F10&gt;=P$2,"-",IF(IFERROR(VLOOKUP($G10,$U:$U,1,1),0)&gt;=P$2,"o","-"))</f>
        <v>-</v>
      </c>
      <c r="Q10" s="42" t="str">
        <f>IF($F10&gt;=Q$2,"-",IF(IFERROR(VLOOKUP($G10,$U:$U,1,1),0)&gt;=Q$2,"o","-"))</f>
        <v>-</v>
      </c>
      <c r="R10" s="42" t="str">
        <f>IF($F10&gt;=R$2,"-",IF(IFERROR(VLOOKUP($G10,$U:$U,1,1),0)&gt;=R$2,"o","-"))</f>
        <v>-</v>
      </c>
      <c r="S10" s="12">
        <f>IF(L10="o",50000,0)+IF(M10="o",100000,0)+IF(N10="o",200000,0)+IF(O10="o",400000,0)+IF(P10="o",600000,0)+IF(Q10="o",1000000,0)+IF(R10="o",2000000,0)</f>
        <v>300000</v>
      </c>
      <c r="T10" s="35"/>
      <c r="X10" s="35"/>
      <c r="Y10" s="35"/>
      <c r="Z10" s="35"/>
    </row>
    <row r="11" spans="2:26">
      <c r="B11" s="9">
        <v>6</v>
      </c>
      <c r="C11" s="10" t="s">
        <v>101</v>
      </c>
      <c r="D11" s="10" t="s">
        <v>290</v>
      </c>
      <c r="E11" s="82">
        <v>41304819</v>
      </c>
      <c r="F11" s="85">
        <f>IFERROR(VLOOKUP(D11,'1월'!D:F,3,0),)</f>
        <v>2</v>
      </c>
      <c r="G11" s="58">
        <v>6</v>
      </c>
      <c r="H11" s="58"/>
      <c r="I11" s="58"/>
      <c r="J11" s="58"/>
      <c r="K11" s="81"/>
      <c r="L11" s="42" t="str">
        <f>IF($F11&gt;=L$2,"-",IF(IFERROR(VLOOKUP($G11,$U:$U,1,1),0)&gt;=L$2,"o","-"))</f>
        <v>-</v>
      </c>
      <c r="M11" s="42" t="str">
        <f>IF($F11&gt;=M$2,"-",IF(IFERROR(VLOOKUP($G11,$U:$U,1,1),0)&gt;=M$2,"o","-"))</f>
        <v>o</v>
      </c>
      <c r="N11" s="42" t="str">
        <f>IF($F11&gt;=N$2,"-",IF(IFERROR(VLOOKUP($G11,$U:$U,1,1),0)&gt;=N$2,"o","-"))</f>
        <v>o</v>
      </c>
      <c r="O11" s="42" t="str">
        <f>IF($F11&gt;=O$2,"-",IF(IFERROR(VLOOKUP($G11,$U:$U,1,1),0)&gt;=O$2,"o","-"))</f>
        <v>-</v>
      </c>
      <c r="P11" s="42" t="str">
        <f>IF($F11&gt;=P$2,"-",IF(IFERROR(VLOOKUP($G11,$U:$U,1,1),0)&gt;=P$2,"o","-"))</f>
        <v>-</v>
      </c>
      <c r="Q11" s="42" t="str">
        <f>IF($F11&gt;=Q$2,"-",IF(IFERROR(VLOOKUP($G11,$U:$U,1,1),0)&gt;=Q$2,"o","-"))</f>
        <v>-</v>
      </c>
      <c r="R11" s="42" t="str">
        <f>IF($F11&gt;=R$2,"-",IF(IFERROR(VLOOKUP($G11,$U:$U,1,1),0)&gt;=R$2,"o","-"))</f>
        <v>-</v>
      </c>
      <c r="S11" s="12">
        <f>IF(L11="o",50000,0)+IF(M11="o",100000,0)+IF(N11="o",200000,0)+IF(O11="o",400000,0)+IF(P11="o",600000,0)+IF(Q11="o",1000000,0)+IF(R11="o",2000000,0)</f>
        <v>300000</v>
      </c>
      <c r="T11" s="35"/>
      <c r="U11" s="35"/>
      <c r="V11" s="40"/>
      <c r="W11" s="35"/>
      <c r="X11" s="35"/>
      <c r="Y11" s="35"/>
      <c r="Z11" s="35"/>
    </row>
    <row r="12" spans="2:26">
      <c r="B12" s="9">
        <v>7</v>
      </c>
      <c r="C12" s="10" t="s">
        <v>71</v>
      </c>
      <c r="D12" s="10" t="s">
        <v>259</v>
      </c>
      <c r="E12" s="82">
        <v>40737748</v>
      </c>
      <c r="F12" s="85">
        <f>IFERROR(VLOOKUP(D12,'1월'!D:F,3,0),)</f>
        <v>2</v>
      </c>
      <c r="G12" s="58">
        <v>6</v>
      </c>
      <c r="H12" s="58"/>
      <c r="I12" s="58"/>
      <c r="J12" s="58"/>
      <c r="K12" s="81"/>
      <c r="L12" s="42" t="str">
        <f>IF($F12&gt;=L$2,"-",IF(IFERROR(VLOOKUP($G12,$U:$U,1,1),0)&gt;=L$2,"o","-"))</f>
        <v>-</v>
      </c>
      <c r="M12" s="42" t="str">
        <f>IF($F12&gt;=M$2,"-",IF(IFERROR(VLOOKUP($G12,$U:$U,1,1),0)&gt;=M$2,"o","-"))</f>
        <v>o</v>
      </c>
      <c r="N12" s="42" t="str">
        <f>IF($F12&gt;=N$2,"-",IF(IFERROR(VLOOKUP($G12,$U:$U,1,1),0)&gt;=N$2,"o","-"))</f>
        <v>o</v>
      </c>
      <c r="O12" s="42" t="str">
        <f>IF($F12&gt;=O$2,"-",IF(IFERROR(VLOOKUP($G12,$U:$U,1,1),0)&gt;=O$2,"o","-"))</f>
        <v>-</v>
      </c>
      <c r="P12" s="42" t="str">
        <f>IF($F12&gt;=P$2,"-",IF(IFERROR(VLOOKUP($G12,$U:$U,1,1),0)&gt;=P$2,"o","-"))</f>
        <v>-</v>
      </c>
      <c r="Q12" s="42" t="str">
        <f>IF($F12&gt;=Q$2,"-",IF(IFERROR(VLOOKUP($G12,$U:$U,1,1),0)&gt;=Q$2,"o","-"))</f>
        <v>-</v>
      </c>
      <c r="R12" s="42" t="str">
        <f>IF($F12&gt;=R$2,"-",IF(IFERROR(VLOOKUP($G12,$U:$U,1,1),0)&gt;=R$2,"o","-"))</f>
        <v>-</v>
      </c>
      <c r="S12" s="12">
        <f>IF(L12="o",50000,0)+IF(M12="o",100000,0)+IF(N12="o",200000,0)+IF(O12="o",400000,0)+IF(P12="o",600000,0)+IF(Q12="o",1000000,0)+IF(R12="o",2000000,0)</f>
        <v>300000</v>
      </c>
      <c r="T12" s="35"/>
      <c r="U12" s="35"/>
      <c r="V12" s="40"/>
      <c r="W12" s="35"/>
      <c r="X12" s="35"/>
      <c r="Y12" s="35"/>
      <c r="Z12" s="35"/>
    </row>
    <row r="13" spans="2:26">
      <c r="B13" s="9">
        <v>8</v>
      </c>
      <c r="C13" s="10" t="s">
        <v>51</v>
      </c>
      <c r="D13" s="10" t="s">
        <v>239</v>
      </c>
      <c r="E13" s="82">
        <v>41507166</v>
      </c>
      <c r="F13" s="85">
        <f>IFERROR(VLOOKUP(D13,'1월'!D:F,3,0),)</f>
        <v>2</v>
      </c>
      <c r="G13" s="58">
        <v>6</v>
      </c>
      <c r="H13" s="58"/>
      <c r="I13" s="58"/>
      <c r="J13" s="58"/>
      <c r="K13" s="81"/>
      <c r="L13" s="42" t="str">
        <f>IF($F13&gt;=L$2,"-",IF(IFERROR(VLOOKUP($G13,$U:$U,1,1),0)&gt;=L$2,"o","-"))</f>
        <v>-</v>
      </c>
      <c r="M13" s="42" t="str">
        <f>IF($F13&gt;=M$2,"-",IF(IFERROR(VLOOKUP($G13,$U:$U,1,1),0)&gt;=M$2,"o","-"))</f>
        <v>o</v>
      </c>
      <c r="N13" s="42" t="str">
        <f>IF($F13&gt;=N$2,"-",IF(IFERROR(VLOOKUP($G13,$U:$U,1,1),0)&gt;=N$2,"o","-"))</f>
        <v>o</v>
      </c>
      <c r="O13" s="42" t="str">
        <f>IF($F13&gt;=O$2,"-",IF(IFERROR(VLOOKUP($G13,$U:$U,1,1),0)&gt;=O$2,"o","-"))</f>
        <v>-</v>
      </c>
      <c r="P13" s="42" t="str">
        <f>IF($F13&gt;=P$2,"-",IF(IFERROR(VLOOKUP($G13,$U:$U,1,1),0)&gt;=P$2,"o","-"))</f>
        <v>-</v>
      </c>
      <c r="Q13" s="42" t="str">
        <f>IF($F13&gt;=Q$2,"-",IF(IFERROR(VLOOKUP($G13,$U:$U,1,1),0)&gt;=Q$2,"o","-"))</f>
        <v>-</v>
      </c>
      <c r="R13" s="42" t="str">
        <f>IF($F13&gt;=R$2,"-",IF(IFERROR(VLOOKUP($G13,$U:$U,1,1),0)&gt;=R$2,"o","-"))</f>
        <v>-</v>
      </c>
      <c r="S13" s="12">
        <f>IF(L13="o",50000,0)+IF(M13="o",100000,0)+IF(N13="o",200000,0)+IF(O13="o",400000,0)+IF(P13="o",600000,0)+IF(Q13="o",1000000,0)+IF(R13="o",2000000,0)</f>
        <v>300000</v>
      </c>
      <c r="T13" s="35"/>
      <c r="U13" s="35"/>
      <c r="V13" s="40"/>
      <c r="W13" s="35"/>
      <c r="X13" s="35"/>
      <c r="Y13" s="35"/>
      <c r="Z13" s="35"/>
    </row>
    <row r="14" spans="2:26">
      <c r="B14" s="9">
        <v>9</v>
      </c>
      <c r="C14" s="10" t="s">
        <v>23</v>
      </c>
      <c r="D14" s="10" t="s">
        <v>211</v>
      </c>
      <c r="E14" s="82">
        <v>41900231</v>
      </c>
      <c r="F14" s="85">
        <f>IFERROR(VLOOKUP(D14,'1월'!D:F,3,0),)</f>
        <v>2</v>
      </c>
      <c r="G14" s="58">
        <v>6</v>
      </c>
      <c r="H14" s="58"/>
      <c r="I14" s="58"/>
      <c r="J14" s="58"/>
      <c r="K14" s="81"/>
      <c r="L14" s="42" t="str">
        <f>IF($F14&gt;=L$2,"-",IF(IFERROR(VLOOKUP($G14,$U:$U,1,1),0)&gt;=L$2,"o","-"))</f>
        <v>-</v>
      </c>
      <c r="M14" s="42" t="str">
        <f>IF($F14&gt;=M$2,"-",IF(IFERROR(VLOOKUP($G14,$U:$U,1,1),0)&gt;=M$2,"o","-"))</f>
        <v>o</v>
      </c>
      <c r="N14" s="42" t="str">
        <f>IF($F14&gt;=N$2,"-",IF(IFERROR(VLOOKUP($G14,$U:$U,1,1),0)&gt;=N$2,"o","-"))</f>
        <v>o</v>
      </c>
      <c r="O14" s="42" t="str">
        <f>IF($F14&gt;=O$2,"-",IF(IFERROR(VLOOKUP($G14,$U:$U,1,1),0)&gt;=O$2,"o","-"))</f>
        <v>-</v>
      </c>
      <c r="P14" s="42" t="str">
        <f>IF($F14&gt;=P$2,"-",IF(IFERROR(VLOOKUP($G14,$U:$U,1,1),0)&gt;=P$2,"o","-"))</f>
        <v>-</v>
      </c>
      <c r="Q14" s="42" t="str">
        <f>IF($F14&gt;=Q$2,"-",IF(IFERROR(VLOOKUP($G14,$U:$U,1,1),0)&gt;=Q$2,"o","-"))</f>
        <v>-</v>
      </c>
      <c r="R14" s="42" t="str">
        <f>IF($F14&gt;=R$2,"-",IF(IFERROR(VLOOKUP($G14,$U:$U,1,1),0)&gt;=R$2,"o","-"))</f>
        <v>-</v>
      </c>
      <c r="S14" s="12">
        <f>IF(L14="o",50000,0)+IF(M14="o",100000,0)+IF(N14="o",200000,0)+IF(O14="o",400000,0)+IF(P14="o",600000,0)+IF(Q14="o",1000000,0)+IF(R14="o",2000000,0)</f>
        <v>300000</v>
      </c>
      <c r="T14" s="35"/>
      <c r="U14" s="35"/>
      <c r="V14" s="40"/>
      <c r="W14" s="35"/>
      <c r="X14" s="35"/>
      <c r="Y14" s="35"/>
      <c r="Z14" s="35"/>
    </row>
    <row r="15" spans="2:26">
      <c r="B15" s="9">
        <v>10</v>
      </c>
      <c r="C15" s="10" t="s">
        <v>6</v>
      </c>
      <c r="D15" s="10" t="s">
        <v>194</v>
      </c>
      <c r="E15" s="82">
        <v>41601954</v>
      </c>
      <c r="F15" s="85">
        <f>IFERROR(VLOOKUP(D15,'1월'!D:F,3,0),)</f>
        <v>4</v>
      </c>
      <c r="G15" s="58">
        <v>6</v>
      </c>
      <c r="H15" s="58"/>
      <c r="I15" s="58"/>
      <c r="J15" s="58"/>
      <c r="K15" s="81"/>
      <c r="L15" s="42" t="str">
        <f>IF($F15&gt;=L$2,"-",IF(IFERROR(VLOOKUP($G15,$U:$U,1,1),0)&gt;=L$2,"o","-"))</f>
        <v>-</v>
      </c>
      <c r="M15" s="42" t="str">
        <f>IF($F15&gt;=M$2,"-",IF(IFERROR(VLOOKUP($G15,$U:$U,1,1),0)&gt;=M$2,"o","-"))</f>
        <v>-</v>
      </c>
      <c r="N15" s="42" t="str">
        <f>IF($F15&gt;=N$2,"-",IF(IFERROR(VLOOKUP($G15,$U:$U,1,1),0)&gt;=N$2,"o","-"))</f>
        <v>o</v>
      </c>
      <c r="O15" s="42" t="str">
        <f>IF($F15&gt;=O$2,"-",IF(IFERROR(VLOOKUP($G15,$U:$U,1,1),0)&gt;=O$2,"o","-"))</f>
        <v>-</v>
      </c>
      <c r="P15" s="42" t="str">
        <f>IF($F15&gt;=P$2,"-",IF(IFERROR(VLOOKUP($G15,$U:$U,1,1),0)&gt;=P$2,"o","-"))</f>
        <v>-</v>
      </c>
      <c r="Q15" s="42" t="str">
        <f>IF($F15&gt;=Q$2,"-",IF(IFERROR(VLOOKUP($G15,$U:$U,1,1),0)&gt;=Q$2,"o","-"))</f>
        <v>-</v>
      </c>
      <c r="R15" s="42" t="str">
        <f>IF($F15&gt;=R$2,"-",IF(IFERROR(VLOOKUP($G15,$U:$U,1,1),0)&gt;=R$2,"o","-"))</f>
        <v>-</v>
      </c>
      <c r="S15" s="12">
        <f>IF(L15="o",50000,0)+IF(M15="o",100000,0)+IF(N15="o",200000,0)+IF(O15="o",400000,0)+IF(P15="o",600000,0)+IF(Q15="o",1000000,0)+IF(R15="o",2000000,0)</f>
        <v>200000</v>
      </c>
      <c r="T15" s="35"/>
      <c r="U15" s="35"/>
      <c r="V15" s="40"/>
      <c r="W15" s="35"/>
      <c r="X15" s="35"/>
      <c r="Y15" s="35"/>
      <c r="Z15" s="35"/>
    </row>
    <row r="16" spans="2:26">
      <c r="B16" s="9">
        <v>11</v>
      </c>
      <c r="C16" s="10" t="s">
        <v>8</v>
      </c>
      <c r="D16" s="10" t="s">
        <v>196</v>
      </c>
      <c r="E16" s="82">
        <v>41605446</v>
      </c>
      <c r="F16" s="85">
        <f>IFERROR(VLOOKUP(D16,'1월'!D:F,3,0),)</f>
        <v>4</v>
      </c>
      <c r="G16" s="58">
        <v>6</v>
      </c>
      <c r="H16" s="58"/>
      <c r="I16" s="58"/>
      <c r="J16" s="58"/>
      <c r="K16" s="81"/>
      <c r="L16" s="42" t="str">
        <f>IF($F16&gt;=L$2,"-",IF(IFERROR(VLOOKUP($G16,$U:$U,1,1),0)&gt;=L$2,"o","-"))</f>
        <v>-</v>
      </c>
      <c r="M16" s="42" t="str">
        <f>IF($F16&gt;=M$2,"-",IF(IFERROR(VLOOKUP($G16,$U:$U,1,1),0)&gt;=M$2,"o","-"))</f>
        <v>-</v>
      </c>
      <c r="N16" s="42" t="str">
        <f>IF($F16&gt;=N$2,"-",IF(IFERROR(VLOOKUP($G16,$U:$U,1,1),0)&gt;=N$2,"o","-"))</f>
        <v>o</v>
      </c>
      <c r="O16" s="42" t="str">
        <f>IF($F16&gt;=O$2,"-",IF(IFERROR(VLOOKUP($G16,$U:$U,1,1),0)&gt;=O$2,"o","-"))</f>
        <v>-</v>
      </c>
      <c r="P16" s="42" t="str">
        <f>IF($F16&gt;=P$2,"-",IF(IFERROR(VLOOKUP($G16,$U:$U,1,1),0)&gt;=P$2,"o","-"))</f>
        <v>-</v>
      </c>
      <c r="Q16" s="42" t="str">
        <f>IF($F16&gt;=Q$2,"-",IF(IFERROR(VLOOKUP($G16,$U:$U,1,1),0)&gt;=Q$2,"o","-"))</f>
        <v>-</v>
      </c>
      <c r="R16" s="42" t="str">
        <f>IF($F16&gt;=R$2,"-",IF(IFERROR(VLOOKUP($G16,$U:$U,1,1),0)&gt;=R$2,"o","-"))</f>
        <v>-</v>
      </c>
      <c r="S16" s="12">
        <f>IF(L16="o",50000,0)+IF(M16="o",100000,0)+IF(N16="o",200000,0)+IF(O16="o",400000,0)+IF(P16="o",600000,0)+IF(Q16="o",1000000,0)+IF(R16="o",2000000,0)</f>
        <v>200000</v>
      </c>
      <c r="T16" s="35"/>
      <c r="U16" s="35"/>
      <c r="V16" s="40"/>
      <c r="W16" s="35"/>
      <c r="X16" s="35"/>
      <c r="Y16" s="35"/>
      <c r="Z16" s="35"/>
    </row>
    <row r="17" spans="2:21">
      <c r="B17" s="9">
        <v>12</v>
      </c>
      <c r="C17" s="10" t="s">
        <v>10</v>
      </c>
      <c r="D17" s="10" t="s">
        <v>198</v>
      </c>
      <c r="E17" s="82">
        <v>42402189</v>
      </c>
      <c r="F17" s="85">
        <f>IFERROR(VLOOKUP(D17,'1월'!D:F,3,0),)</f>
        <v>4</v>
      </c>
      <c r="G17" s="58">
        <v>6</v>
      </c>
      <c r="H17" s="58"/>
      <c r="I17" s="58"/>
      <c r="J17" s="58"/>
      <c r="K17" s="81"/>
      <c r="L17" s="42" t="str">
        <f>IF($F17&gt;=L$2,"-",IF(IFERROR(VLOOKUP($G17,$U:$U,1,1),0)&gt;=L$2,"o","-"))</f>
        <v>-</v>
      </c>
      <c r="M17" s="42" t="str">
        <f>IF($F17&gt;=M$2,"-",IF(IFERROR(VLOOKUP($G17,$U:$U,1,1),0)&gt;=M$2,"o","-"))</f>
        <v>-</v>
      </c>
      <c r="N17" s="42" t="str">
        <f>IF($F17&gt;=N$2,"-",IF(IFERROR(VLOOKUP($G17,$U:$U,1,1),0)&gt;=N$2,"o","-"))</f>
        <v>o</v>
      </c>
      <c r="O17" s="42" t="str">
        <f>IF($F17&gt;=O$2,"-",IF(IFERROR(VLOOKUP($G17,$U:$U,1,1),0)&gt;=O$2,"o","-"))</f>
        <v>-</v>
      </c>
      <c r="P17" s="42" t="str">
        <f>IF($F17&gt;=P$2,"-",IF(IFERROR(VLOOKUP($G17,$U:$U,1,1),0)&gt;=P$2,"o","-"))</f>
        <v>-</v>
      </c>
      <c r="Q17" s="42" t="str">
        <f>IF($F17&gt;=Q$2,"-",IF(IFERROR(VLOOKUP($G17,$U:$U,1,1),0)&gt;=Q$2,"o","-"))</f>
        <v>-</v>
      </c>
      <c r="R17" s="42" t="str">
        <f>IF($F17&gt;=R$2,"-",IF(IFERROR(VLOOKUP($G17,$U:$U,1,1),0)&gt;=R$2,"o","-"))</f>
        <v>-</v>
      </c>
      <c r="S17" s="12">
        <f>IF(L17="o",50000,0)+IF(M17="o",100000,0)+IF(N17="o",200000,0)+IF(O17="o",400000,0)+IF(P17="o",600000,0)+IF(Q17="o",1000000,0)+IF(R17="o",2000000,0)</f>
        <v>200000</v>
      </c>
    </row>
    <row r="18" spans="2:21">
      <c r="B18" s="9">
        <v>13</v>
      </c>
      <c r="C18" s="10" t="s">
        <v>464</v>
      </c>
      <c r="D18" s="10" t="s">
        <v>698</v>
      </c>
      <c r="E18" s="82">
        <v>31200112</v>
      </c>
      <c r="F18" s="85">
        <f>IFERROR(VLOOKUP(D18,'1월'!D:F,3,0),)</f>
        <v>0</v>
      </c>
      <c r="G18" s="58">
        <v>4</v>
      </c>
      <c r="H18" s="58"/>
      <c r="I18" s="58"/>
      <c r="J18" s="58"/>
      <c r="K18" s="81"/>
      <c r="L18" s="42" t="str">
        <f>IF($F18&gt;=L$2,"-",IF(IFERROR(VLOOKUP($G18,$U:$U,1,1),0)&gt;=L$2,"o","-"))</f>
        <v>o</v>
      </c>
      <c r="M18" s="42" t="str">
        <f>IF($F18&gt;=M$2,"-",IF(IFERROR(VLOOKUP($G18,$U:$U,1,1),0)&gt;=M$2,"o","-"))</f>
        <v>o</v>
      </c>
      <c r="N18" s="42" t="str">
        <f>IF($F18&gt;=N$2,"-",IF(IFERROR(VLOOKUP($G18,$U:$U,1,1),0)&gt;=N$2,"o","-"))</f>
        <v>-</v>
      </c>
      <c r="O18" s="42" t="str">
        <f>IF($F18&gt;=O$2,"-",IF(IFERROR(VLOOKUP($G18,$U:$U,1,1),0)&gt;=O$2,"o","-"))</f>
        <v>-</v>
      </c>
      <c r="P18" s="42" t="str">
        <f>IF($F18&gt;=P$2,"-",IF(IFERROR(VLOOKUP($G18,$U:$U,1,1),0)&gt;=P$2,"o","-"))</f>
        <v>-</v>
      </c>
      <c r="Q18" s="42" t="str">
        <f>IF($F18&gt;=Q$2,"-",IF(IFERROR(VLOOKUP($G18,$U:$U,1,1),0)&gt;=Q$2,"o","-"))</f>
        <v>-</v>
      </c>
      <c r="R18" s="42" t="str">
        <f>IF($F18&gt;=R$2,"-",IF(IFERROR(VLOOKUP($G18,$U:$U,1,1),0)&gt;=R$2,"o","-"))</f>
        <v>-</v>
      </c>
      <c r="S18" s="12">
        <f>IF(L18="o",50000,0)+IF(M18="o",100000,0)+IF(N18="o",200000,0)+IF(O18="o",400000,0)+IF(P18="o",600000,0)+IF(Q18="o",1000000,0)+IF(R18="o",2000000,0)</f>
        <v>150000</v>
      </c>
    </row>
    <row r="19" spans="2:21">
      <c r="B19" s="9">
        <v>14</v>
      </c>
      <c r="C19" s="10" t="s">
        <v>465</v>
      </c>
      <c r="D19" s="10" t="s">
        <v>699</v>
      </c>
      <c r="E19" s="82">
        <v>41304873</v>
      </c>
      <c r="F19" s="85">
        <f>IFERROR(VLOOKUP(D19,'1월'!D:F,3,0),)</f>
        <v>0</v>
      </c>
      <c r="G19" s="58">
        <v>4</v>
      </c>
      <c r="H19" s="58"/>
      <c r="I19" s="58"/>
      <c r="J19" s="58"/>
      <c r="K19" s="81"/>
      <c r="L19" s="42" t="str">
        <f>IF($F19&gt;=L$2,"-",IF(IFERROR(VLOOKUP($G19,$U:$U,1,1),0)&gt;=L$2,"o","-"))</f>
        <v>o</v>
      </c>
      <c r="M19" s="42" t="str">
        <f>IF($F19&gt;=M$2,"-",IF(IFERROR(VLOOKUP($G19,$U:$U,1,1),0)&gt;=M$2,"o","-"))</f>
        <v>o</v>
      </c>
      <c r="N19" s="42" t="str">
        <f>IF($F19&gt;=N$2,"-",IF(IFERROR(VLOOKUP($G19,$U:$U,1,1),0)&gt;=N$2,"o","-"))</f>
        <v>-</v>
      </c>
      <c r="O19" s="42" t="str">
        <f>IF($F19&gt;=O$2,"-",IF(IFERROR(VLOOKUP($G19,$U:$U,1,1),0)&gt;=O$2,"o","-"))</f>
        <v>-</v>
      </c>
      <c r="P19" s="42" t="str">
        <f>IF($F19&gt;=P$2,"-",IF(IFERROR(VLOOKUP($G19,$U:$U,1,1),0)&gt;=P$2,"o","-"))</f>
        <v>-</v>
      </c>
      <c r="Q19" s="42" t="str">
        <f>IF($F19&gt;=Q$2,"-",IF(IFERROR(VLOOKUP($G19,$U:$U,1,1),0)&gt;=Q$2,"o","-"))</f>
        <v>-</v>
      </c>
      <c r="R19" s="42" t="str">
        <f>IF($F19&gt;=R$2,"-",IF(IFERROR(VLOOKUP($G19,$U:$U,1,1),0)&gt;=R$2,"o","-"))</f>
        <v>-</v>
      </c>
      <c r="S19" s="12">
        <f>IF(L19="o",50000,0)+IF(M19="o",100000,0)+IF(N19="o",200000,0)+IF(O19="o",400000,0)+IF(P19="o",600000,0)+IF(Q19="o",1000000,0)+IF(R19="o",2000000,0)</f>
        <v>150000</v>
      </c>
      <c r="U19" t="s">
        <v>448</v>
      </c>
    </row>
    <row r="20" spans="2:21">
      <c r="B20" s="9">
        <v>15</v>
      </c>
      <c r="C20" s="10" t="s">
        <v>466</v>
      </c>
      <c r="D20" s="10" t="s">
        <v>700</v>
      </c>
      <c r="E20" s="82">
        <v>31700414</v>
      </c>
      <c r="F20" s="85">
        <f>IFERROR(VLOOKUP(D20,'1월'!D:F,3,0),)</f>
        <v>0</v>
      </c>
      <c r="G20" s="58">
        <v>4</v>
      </c>
      <c r="H20" s="58"/>
      <c r="I20" s="58"/>
      <c r="J20" s="58"/>
      <c r="K20" s="81"/>
      <c r="L20" s="42" t="str">
        <f>IF($F20&gt;=L$2,"-",IF(IFERROR(VLOOKUP($G20,$U:$U,1,1),0)&gt;=L$2,"o","-"))</f>
        <v>o</v>
      </c>
      <c r="M20" s="42" t="str">
        <f>IF($F20&gt;=M$2,"-",IF(IFERROR(VLOOKUP($G20,$U:$U,1,1),0)&gt;=M$2,"o","-"))</f>
        <v>o</v>
      </c>
      <c r="N20" s="42" t="str">
        <f>IF($F20&gt;=N$2,"-",IF(IFERROR(VLOOKUP($G20,$U:$U,1,1),0)&gt;=N$2,"o","-"))</f>
        <v>-</v>
      </c>
      <c r="O20" s="42" t="str">
        <f>IF($F20&gt;=O$2,"-",IF(IFERROR(VLOOKUP($G20,$U:$U,1,1),0)&gt;=O$2,"o","-"))</f>
        <v>-</v>
      </c>
      <c r="P20" s="42" t="str">
        <f>IF($F20&gt;=P$2,"-",IF(IFERROR(VLOOKUP($G20,$U:$U,1,1),0)&gt;=P$2,"o","-"))</f>
        <v>-</v>
      </c>
      <c r="Q20" s="42" t="str">
        <f>IF($F20&gt;=Q$2,"-",IF(IFERROR(VLOOKUP($G20,$U:$U,1,1),0)&gt;=Q$2,"o","-"))</f>
        <v>-</v>
      </c>
      <c r="R20" s="42" t="str">
        <f>IF($F20&gt;=R$2,"-",IF(IFERROR(VLOOKUP($G20,$U:$U,1,1),0)&gt;=R$2,"o","-"))</f>
        <v>-</v>
      </c>
      <c r="S20" s="12">
        <f>IF(L20="o",50000,0)+IF(M20="o",100000,0)+IF(N20="o",200000,0)+IF(O20="o",400000,0)+IF(P20="o",600000,0)+IF(Q20="o",1000000,0)+IF(R20="o",2000000,0)</f>
        <v>150000</v>
      </c>
      <c r="U20" t="s">
        <v>450</v>
      </c>
    </row>
    <row r="21" spans="2:21">
      <c r="B21" s="9">
        <v>16</v>
      </c>
      <c r="C21" s="10" t="s">
        <v>467</v>
      </c>
      <c r="D21" s="10" t="s">
        <v>701</v>
      </c>
      <c r="E21" s="82">
        <v>32503368</v>
      </c>
      <c r="F21" s="85">
        <f>IFERROR(VLOOKUP(D21,'1월'!D:F,3,0),)</f>
        <v>0</v>
      </c>
      <c r="G21" s="58">
        <v>4</v>
      </c>
      <c r="H21" s="58"/>
      <c r="I21" s="58"/>
      <c r="J21" s="58"/>
      <c r="K21" s="81"/>
      <c r="L21" s="42" t="str">
        <f>IF($F21&gt;=L$2,"-",IF(IFERROR(VLOOKUP($G21,$U:$U,1,1),0)&gt;=L$2,"o","-"))</f>
        <v>o</v>
      </c>
      <c r="M21" s="42" t="str">
        <f>IF($F21&gt;=M$2,"-",IF(IFERROR(VLOOKUP($G21,$U:$U,1,1),0)&gt;=M$2,"o","-"))</f>
        <v>o</v>
      </c>
      <c r="N21" s="42" t="str">
        <f>IF($F21&gt;=N$2,"-",IF(IFERROR(VLOOKUP($G21,$U:$U,1,1),0)&gt;=N$2,"o","-"))</f>
        <v>-</v>
      </c>
      <c r="O21" s="42" t="str">
        <f>IF($F21&gt;=O$2,"-",IF(IFERROR(VLOOKUP($G21,$U:$U,1,1),0)&gt;=O$2,"o","-"))</f>
        <v>-</v>
      </c>
      <c r="P21" s="42" t="str">
        <f>IF($F21&gt;=P$2,"-",IF(IFERROR(VLOOKUP($G21,$U:$U,1,1),0)&gt;=P$2,"o","-"))</f>
        <v>-</v>
      </c>
      <c r="Q21" s="42" t="str">
        <f>IF($F21&gt;=Q$2,"-",IF(IFERROR(VLOOKUP($G21,$U:$U,1,1),0)&gt;=Q$2,"o","-"))</f>
        <v>-</v>
      </c>
      <c r="R21" s="42" t="str">
        <f>IF($F21&gt;=R$2,"-",IF(IFERROR(VLOOKUP($G21,$U:$U,1,1),0)&gt;=R$2,"o","-"))</f>
        <v>-</v>
      </c>
      <c r="S21" s="12">
        <f>IF(L21="o",50000,0)+IF(M21="o",100000,0)+IF(N21="o",200000,0)+IF(O21="o",400000,0)+IF(P21="o",600000,0)+IF(Q21="o",1000000,0)+IF(R21="o",2000000,0)</f>
        <v>150000</v>
      </c>
      <c r="U21" t="s">
        <v>451</v>
      </c>
    </row>
    <row r="22" spans="2:21">
      <c r="B22" s="9">
        <v>17</v>
      </c>
      <c r="C22" s="10" t="s">
        <v>468</v>
      </c>
      <c r="D22" s="10" t="s">
        <v>702</v>
      </c>
      <c r="E22" s="82">
        <v>31500498</v>
      </c>
      <c r="F22" s="85">
        <f>IFERROR(VLOOKUP(D22,'1월'!D:F,3,0),)</f>
        <v>0</v>
      </c>
      <c r="G22" s="58">
        <v>4</v>
      </c>
      <c r="H22" s="58"/>
      <c r="I22" s="58"/>
      <c r="J22" s="58"/>
      <c r="K22" s="81"/>
      <c r="L22" s="42" t="str">
        <f>IF($F22&gt;=L$2,"-",IF(IFERROR(VLOOKUP($G22,$U:$U,1,1),0)&gt;=L$2,"o","-"))</f>
        <v>o</v>
      </c>
      <c r="M22" s="42" t="str">
        <f>IF($F22&gt;=M$2,"-",IF(IFERROR(VLOOKUP($G22,$U:$U,1,1),0)&gt;=M$2,"o","-"))</f>
        <v>o</v>
      </c>
      <c r="N22" s="42" t="str">
        <f>IF($F22&gt;=N$2,"-",IF(IFERROR(VLOOKUP($G22,$U:$U,1,1),0)&gt;=N$2,"o","-"))</f>
        <v>-</v>
      </c>
      <c r="O22" s="42" t="str">
        <f>IF($F22&gt;=O$2,"-",IF(IFERROR(VLOOKUP($G22,$U:$U,1,1),0)&gt;=O$2,"o","-"))</f>
        <v>-</v>
      </c>
      <c r="P22" s="42" t="str">
        <f>IF($F22&gt;=P$2,"-",IF(IFERROR(VLOOKUP($G22,$U:$U,1,1),0)&gt;=P$2,"o","-"))</f>
        <v>-</v>
      </c>
      <c r="Q22" s="42" t="str">
        <f>IF($F22&gt;=Q$2,"-",IF(IFERROR(VLOOKUP($G22,$U:$U,1,1),0)&gt;=Q$2,"o","-"))</f>
        <v>-</v>
      </c>
      <c r="R22" s="42" t="str">
        <f>IF($F22&gt;=R$2,"-",IF(IFERROR(VLOOKUP($G22,$U:$U,1,1),0)&gt;=R$2,"o","-"))</f>
        <v>-</v>
      </c>
      <c r="S22" s="12">
        <f>IF(L22="o",50000,0)+IF(M22="o",100000,0)+IF(N22="o",200000,0)+IF(O22="o",400000,0)+IF(P22="o",600000,0)+IF(Q22="o",1000000,0)+IF(R22="o",2000000,0)</f>
        <v>150000</v>
      </c>
    </row>
    <row r="23" spans="2:21">
      <c r="B23" s="9">
        <v>18</v>
      </c>
      <c r="C23" s="10" t="s">
        <v>469</v>
      </c>
      <c r="D23" s="10" t="s">
        <v>703</v>
      </c>
      <c r="E23" s="82">
        <v>41300282</v>
      </c>
      <c r="F23" s="85">
        <f>IFERROR(VLOOKUP(D23,'1월'!D:F,3,0),)</f>
        <v>0</v>
      </c>
      <c r="G23" s="58">
        <v>4</v>
      </c>
      <c r="H23" s="58"/>
      <c r="I23" s="58"/>
      <c r="J23" s="58"/>
      <c r="K23" s="81"/>
      <c r="L23" s="42" t="str">
        <f>IF($F23&gt;=L$2,"-",IF(IFERROR(VLOOKUP($G23,$U:$U,1,1),0)&gt;=L$2,"o","-"))</f>
        <v>o</v>
      </c>
      <c r="M23" s="42" t="str">
        <f>IF($F23&gt;=M$2,"-",IF(IFERROR(VLOOKUP($G23,$U:$U,1,1),0)&gt;=M$2,"o","-"))</f>
        <v>o</v>
      </c>
      <c r="N23" s="42" t="str">
        <f>IF($F23&gt;=N$2,"-",IF(IFERROR(VLOOKUP($G23,$U:$U,1,1),0)&gt;=N$2,"o","-"))</f>
        <v>-</v>
      </c>
      <c r="O23" s="42" t="str">
        <f>IF($F23&gt;=O$2,"-",IF(IFERROR(VLOOKUP($G23,$U:$U,1,1),0)&gt;=O$2,"o","-"))</f>
        <v>-</v>
      </c>
      <c r="P23" s="42" t="str">
        <f>IF($F23&gt;=P$2,"-",IF(IFERROR(VLOOKUP($G23,$U:$U,1,1),0)&gt;=P$2,"o","-"))</f>
        <v>-</v>
      </c>
      <c r="Q23" s="42" t="str">
        <f>IF($F23&gt;=Q$2,"-",IF(IFERROR(VLOOKUP($G23,$U:$U,1,1),0)&gt;=Q$2,"o","-"))</f>
        <v>-</v>
      </c>
      <c r="R23" s="42" t="str">
        <f>IF($F23&gt;=R$2,"-",IF(IFERROR(VLOOKUP($G23,$U:$U,1,1),0)&gt;=R$2,"o","-"))</f>
        <v>-</v>
      </c>
      <c r="S23" s="12">
        <f>IF(L23="o",50000,0)+IF(M23="o",100000,0)+IF(N23="o",200000,0)+IF(O23="o",400000,0)+IF(P23="o",600000,0)+IF(Q23="o",1000000,0)+IF(R23="o",2000000,0)</f>
        <v>150000</v>
      </c>
      <c r="U23" t="s">
        <v>449</v>
      </c>
    </row>
    <row r="24" spans="2:21">
      <c r="B24" s="9">
        <v>19</v>
      </c>
      <c r="C24" s="10" t="s">
        <v>470</v>
      </c>
      <c r="D24" s="10" t="s">
        <v>704</v>
      </c>
      <c r="E24" s="82">
        <v>31300247</v>
      </c>
      <c r="F24" s="85">
        <f>IFERROR(VLOOKUP(D24,'1월'!D:F,3,0),)</f>
        <v>0</v>
      </c>
      <c r="G24" s="58">
        <v>4</v>
      </c>
      <c r="H24" s="58"/>
      <c r="I24" s="58"/>
      <c r="J24" s="58"/>
      <c r="K24" s="81"/>
      <c r="L24" s="42" t="str">
        <f>IF($F24&gt;=L$2,"-",IF(IFERROR(VLOOKUP($G24,$U:$U,1,1),0)&gt;=L$2,"o","-"))</f>
        <v>o</v>
      </c>
      <c r="M24" s="42" t="str">
        <f>IF($F24&gt;=M$2,"-",IF(IFERROR(VLOOKUP($G24,$U:$U,1,1),0)&gt;=M$2,"o","-"))</f>
        <v>o</v>
      </c>
      <c r="N24" s="42" t="str">
        <f>IF($F24&gt;=N$2,"-",IF(IFERROR(VLOOKUP($G24,$U:$U,1,1),0)&gt;=N$2,"o","-"))</f>
        <v>-</v>
      </c>
      <c r="O24" s="42" t="str">
        <f>IF($F24&gt;=O$2,"-",IF(IFERROR(VLOOKUP($G24,$U:$U,1,1),0)&gt;=O$2,"o","-"))</f>
        <v>-</v>
      </c>
      <c r="P24" s="42" t="str">
        <f>IF($F24&gt;=P$2,"-",IF(IFERROR(VLOOKUP($G24,$U:$U,1,1),0)&gt;=P$2,"o","-"))</f>
        <v>-</v>
      </c>
      <c r="Q24" s="42" t="str">
        <f>IF($F24&gt;=Q$2,"-",IF(IFERROR(VLOOKUP($G24,$U:$U,1,1),0)&gt;=Q$2,"o","-"))</f>
        <v>-</v>
      </c>
      <c r="R24" s="42" t="str">
        <f>IF($F24&gt;=R$2,"-",IF(IFERROR(VLOOKUP($G24,$U:$U,1,1),0)&gt;=R$2,"o","-"))</f>
        <v>-</v>
      </c>
      <c r="S24" s="12">
        <f>IF(L24="o",50000,0)+IF(M24="o",100000,0)+IF(N24="o",200000,0)+IF(O24="o",400000,0)+IF(P24="o",600000,0)+IF(Q24="o",1000000,0)+IF(R24="o",2000000,0)</f>
        <v>150000</v>
      </c>
      <c r="U24" t="s">
        <v>452</v>
      </c>
    </row>
    <row r="25" spans="2:21">
      <c r="B25" s="9">
        <v>20</v>
      </c>
      <c r="C25" s="10" t="s">
        <v>471</v>
      </c>
      <c r="D25" s="10" t="s">
        <v>705</v>
      </c>
      <c r="E25" s="82">
        <v>31300670</v>
      </c>
      <c r="F25" s="85">
        <f>IFERROR(VLOOKUP(D25,'1월'!D:F,3,0),)</f>
        <v>0</v>
      </c>
      <c r="G25" s="58">
        <v>4</v>
      </c>
      <c r="H25" s="58"/>
      <c r="I25" s="58"/>
      <c r="J25" s="58"/>
      <c r="K25" s="81"/>
      <c r="L25" s="42" t="str">
        <f>IF($F25&gt;=L$2,"-",IF(IFERROR(VLOOKUP($G25,$U:$U,1,1),0)&gt;=L$2,"o","-"))</f>
        <v>o</v>
      </c>
      <c r="M25" s="42" t="str">
        <f>IF($F25&gt;=M$2,"-",IF(IFERROR(VLOOKUP($G25,$U:$U,1,1),0)&gt;=M$2,"o","-"))</f>
        <v>o</v>
      </c>
      <c r="N25" s="42" t="str">
        <f>IF($F25&gt;=N$2,"-",IF(IFERROR(VLOOKUP($G25,$U:$U,1,1),0)&gt;=N$2,"o","-"))</f>
        <v>-</v>
      </c>
      <c r="O25" s="42" t="str">
        <f>IF($F25&gt;=O$2,"-",IF(IFERROR(VLOOKUP($G25,$U:$U,1,1),0)&gt;=O$2,"o","-"))</f>
        <v>-</v>
      </c>
      <c r="P25" s="42" t="str">
        <f>IF($F25&gt;=P$2,"-",IF(IFERROR(VLOOKUP($G25,$U:$U,1,1),0)&gt;=P$2,"o","-"))</f>
        <v>-</v>
      </c>
      <c r="Q25" s="42" t="str">
        <f>IF($F25&gt;=Q$2,"-",IF(IFERROR(VLOOKUP($G25,$U:$U,1,1),0)&gt;=Q$2,"o","-"))</f>
        <v>-</v>
      </c>
      <c r="R25" s="42" t="str">
        <f>IF($F25&gt;=R$2,"-",IF(IFERROR(VLOOKUP($G25,$U:$U,1,1),0)&gt;=R$2,"o","-"))</f>
        <v>-</v>
      </c>
      <c r="S25" s="12">
        <f>IF(L25="o",50000,0)+IF(M25="o",100000,0)+IF(N25="o",200000,0)+IF(O25="o",400000,0)+IF(P25="o",600000,0)+IF(Q25="o",1000000,0)+IF(R25="o",2000000,0)</f>
        <v>150000</v>
      </c>
    </row>
    <row r="26" spans="2:21">
      <c r="B26" s="9">
        <v>21</v>
      </c>
      <c r="C26" s="10" t="s">
        <v>472</v>
      </c>
      <c r="D26" s="10" t="s">
        <v>706</v>
      </c>
      <c r="E26" s="82">
        <v>31402992</v>
      </c>
      <c r="F26" s="85">
        <f>IFERROR(VLOOKUP(D26,'1월'!D:F,3,0),)</f>
        <v>0</v>
      </c>
      <c r="G26" s="58">
        <v>4</v>
      </c>
      <c r="H26" s="58"/>
      <c r="I26" s="58"/>
      <c r="J26" s="58"/>
      <c r="K26" s="81"/>
      <c r="L26" s="42" t="str">
        <f>IF($F26&gt;=L$2,"-",IF(IFERROR(VLOOKUP($G26,$U:$U,1,1),0)&gt;=L$2,"o","-"))</f>
        <v>o</v>
      </c>
      <c r="M26" s="42" t="str">
        <f>IF($F26&gt;=M$2,"-",IF(IFERROR(VLOOKUP($G26,$U:$U,1,1),0)&gt;=M$2,"o","-"))</f>
        <v>o</v>
      </c>
      <c r="N26" s="42" t="str">
        <f>IF($F26&gt;=N$2,"-",IF(IFERROR(VLOOKUP($G26,$U:$U,1,1),0)&gt;=N$2,"o","-"))</f>
        <v>-</v>
      </c>
      <c r="O26" s="42" t="str">
        <f>IF($F26&gt;=O$2,"-",IF(IFERROR(VLOOKUP($G26,$U:$U,1,1),0)&gt;=O$2,"o","-"))</f>
        <v>-</v>
      </c>
      <c r="P26" s="42" t="str">
        <f>IF($F26&gt;=P$2,"-",IF(IFERROR(VLOOKUP($G26,$U:$U,1,1),0)&gt;=P$2,"o","-"))</f>
        <v>-</v>
      </c>
      <c r="Q26" s="42" t="str">
        <f>IF($F26&gt;=Q$2,"-",IF(IFERROR(VLOOKUP($G26,$U:$U,1,1),0)&gt;=Q$2,"o","-"))</f>
        <v>-</v>
      </c>
      <c r="R26" s="42" t="str">
        <f>IF($F26&gt;=R$2,"-",IF(IFERROR(VLOOKUP($G26,$U:$U,1,1),0)&gt;=R$2,"o","-"))</f>
        <v>-</v>
      </c>
      <c r="S26" s="12">
        <f>IF(L26="o",50000,0)+IF(M26="o",100000,0)+IF(N26="o",200000,0)+IF(O26="o",400000,0)+IF(P26="o",600000,0)+IF(Q26="o",1000000,0)+IF(R26="o",2000000,0)</f>
        <v>150000</v>
      </c>
    </row>
    <row r="27" spans="2:21">
      <c r="B27" s="9">
        <v>22</v>
      </c>
      <c r="C27" s="10" t="s">
        <v>473</v>
      </c>
      <c r="D27" s="10" t="s">
        <v>707</v>
      </c>
      <c r="E27" s="82">
        <v>32001095</v>
      </c>
      <c r="F27" s="85">
        <f>IFERROR(VLOOKUP(D27,'1월'!D:F,3,0),)</f>
        <v>0</v>
      </c>
      <c r="G27" s="58">
        <v>4</v>
      </c>
      <c r="H27" s="58"/>
      <c r="I27" s="58"/>
      <c r="J27" s="58"/>
      <c r="K27" s="81"/>
      <c r="L27" s="42" t="str">
        <f>IF($F27&gt;=L$2,"-",IF(IFERROR(VLOOKUP($G27,$U:$U,1,1),0)&gt;=L$2,"o","-"))</f>
        <v>o</v>
      </c>
      <c r="M27" s="42" t="str">
        <f>IF($F27&gt;=M$2,"-",IF(IFERROR(VLOOKUP($G27,$U:$U,1,1),0)&gt;=M$2,"o","-"))</f>
        <v>o</v>
      </c>
      <c r="N27" s="42" t="str">
        <f>IF($F27&gt;=N$2,"-",IF(IFERROR(VLOOKUP($G27,$U:$U,1,1),0)&gt;=N$2,"o","-"))</f>
        <v>-</v>
      </c>
      <c r="O27" s="42" t="str">
        <f>IF($F27&gt;=O$2,"-",IF(IFERROR(VLOOKUP($G27,$U:$U,1,1),0)&gt;=O$2,"o","-"))</f>
        <v>-</v>
      </c>
      <c r="P27" s="42" t="str">
        <f>IF($F27&gt;=P$2,"-",IF(IFERROR(VLOOKUP($G27,$U:$U,1,1),0)&gt;=P$2,"o","-"))</f>
        <v>-</v>
      </c>
      <c r="Q27" s="42" t="str">
        <f>IF($F27&gt;=Q$2,"-",IF(IFERROR(VLOOKUP($G27,$U:$U,1,1),0)&gt;=Q$2,"o","-"))</f>
        <v>-</v>
      </c>
      <c r="R27" s="42" t="str">
        <f>IF($F27&gt;=R$2,"-",IF(IFERROR(VLOOKUP($G27,$U:$U,1,1),0)&gt;=R$2,"o","-"))</f>
        <v>-</v>
      </c>
      <c r="S27" s="12">
        <f>IF(L27="o",50000,0)+IF(M27="o",100000,0)+IF(N27="o",200000,0)+IF(O27="o",400000,0)+IF(P27="o",600000,0)+IF(Q27="o",1000000,0)+IF(R27="o",2000000,0)</f>
        <v>150000</v>
      </c>
    </row>
    <row r="28" spans="2:21">
      <c r="B28" s="9">
        <v>23</v>
      </c>
      <c r="C28" s="10" t="s">
        <v>474</v>
      </c>
      <c r="D28" s="10" t="s">
        <v>708</v>
      </c>
      <c r="E28" s="82">
        <v>31801142</v>
      </c>
      <c r="F28" s="85">
        <f>IFERROR(VLOOKUP(D28,'1월'!D:F,3,0),)</f>
        <v>0</v>
      </c>
      <c r="G28" s="58">
        <v>4</v>
      </c>
      <c r="H28" s="58"/>
      <c r="I28" s="58"/>
      <c r="J28" s="58"/>
      <c r="K28" s="81"/>
      <c r="L28" s="42" t="str">
        <f>IF($F28&gt;=L$2,"-",IF(IFERROR(VLOOKUP($G28,$U:$U,1,1),0)&gt;=L$2,"o","-"))</f>
        <v>o</v>
      </c>
      <c r="M28" s="42" t="str">
        <f>IF($F28&gt;=M$2,"-",IF(IFERROR(VLOOKUP($G28,$U:$U,1,1),0)&gt;=M$2,"o","-"))</f>
        <v>o</v>
      </c>
      <c r="N28" s="42" t="str">
        <f>IF($F28&gt;=N$2,"-",IF(IFERROR(VLOOKUP($G28,$U:$U,1,1),0)&gt;=N$2,"o","-"))</f>
        <v>-</v>
      </c>
      <c r="O28" s="42" t="str">
        <f>IF($F28&gt;=O$2,"-",IF(IFERROR(VLOOKUP($G28,$U:$U,1,1),0)&gt;=O$2,"o","-"))</f>
        <v>-</v>
      </c>
      <c r="P28" s="42" t="str">
        <f>IF($F28&gt;=P$2,"-",IF(IFERROR(VLOOKUP($G28,$U:$U,1,1),0)&gt;=P$2,"o","-"))</f>
        <v>-</v>
      </c>
      <c r="Q28" s="42" t="str">
        <f>IF($F28&gt;=Q$2,"-",IF(IFERROR(VLOOKUP($G28,$U:$U,1,1),0)&gt;=Q$2,"o","-"))</f>
        <v>-</v>
      </c>
      <c r="R28" s="42" t="str">
        <f>IF($F28&gt;=R$2,"-",IF(IFERROR(VLOOKUP($G28,$U:$U,1,1),0)&gt;=R$2,"o","-"))</f>
        <v>-</v>
      </c>
      <c r="S28" s="12">
        <f>IF(L28="o",50000,0)+IF(M28="o",100000,0)+IF(N28="o",200000,0)+IF(O28="o",400000,0)+IF(P28="o",600000,0)+IF(Q28="o",1000000,0)+IF(R28="o",2000000,0)</f>
        <v>150000</v>
      </c>
    </row>
    <row r="29" spans="2:21">
      <c r="B29" s="9">
        <v>24</v>
      </c>
      <c r="C29" s="10" t="s">
        <v>475</v>
      </c>
      <c r="D29" s="10" t="s">
        <v>709</v>
      </c>
      <c r="E29" s="82">
        <v>31500830</v>
      </c>
      <c r="F29" s="85">
        <f>IFERROR(VLOOKUP(D29,'1월'!D:F,3,0),)</f>
        <v>0</v>
      </c>
      <c r="G29" s="58">
        <v>4</v>
      </c>
      <c r="H29" s="58"/>
      <c r="I29" s="58"/>
      <c r="J29" s="58"/>
      <c r="K29" s="81"/>
      <c r="L29" s="42" t="str">
        <f>IF($F29&gt;=L$2,"-",IF(IFERROR(VLOOKUP($G29,$U:$U,1,1),0)&gt;=L$2,"o","-"))</f>
        <v>o</v>
      </c>
      <c r="M29" s="42" t="str">
        <f>IF($F29&gt;=M$2,"-",IF(IFERROR(VLOOKUP($G29,$U:$U,1,1),0)&gt;=M$2,"o","-"))</f>
        <v>o</v>
      </c>
      <c r="N29" s="42" t="str">
        <f>IF($F29&gt;=N$2,"-",IF(IFERROR(VLOOKUP($G29,$U:$U,1,1),0)&gt;=N$2,"o","-"))</f>
        <v>-</v>
      </c>
      <c r="O29" s="42" t="str">
        <f>IF($F29&gt;=O$2,"-",IF(IFERROR(VLOOKUP($G29,$U:$U,1,1),0)&gt;=O$2,"o","-"))</f>
        <v>-</v>
      </c>
      <c r="P29" s="42" t="str">
        <f>IF($F29&gt;=P$2,"-",IF(IFERROR(VLOOKUP($G29,$U:$U,1,1),0)&gt;=P$2,"o","-"))</f>
        <v>-</v>
      </c>
      <c r="Q29" s="42" t="str">
        <f>IF($F29&gt;=Q$2,"-",IF(IFERROR(VLOOKUP($G29,$U:$U,1,1),0)&gt;=Q$2,"o","-"))</f>
        <v>-</v>
      </c>
      <c r="R29" s="42" t="str">
        <f>IF($F29&gt;=R$2,"-",IF(IFERROR(VLOOKUP($G29,$U:$U,1,1),0)&gt;=R$2,"o","-"))</f>
        <v>-</v>
      </c>
      <c r="S29" s="12">
        <f>IF(L29="o",50000,0)+IF(M29="o",100000,0)+IF(N29="o",200000,0)+IF(O29="o",400000,0)+IF(P29="o",600000,0)+IF(Q29="o",1000000,0)+IF(R29="o",2000000,0)</f>
        <v>150000</v>
      </c>
    </row>
    <row r="30" spans="2:21">
      <c r="B30" s="9">
        <v>25</v>
      </c>
      <c r="C30" s="10" t="s">
        <v>476</v>
      </c>
      <c r="D30" s="10" t="s">
        <v>710</v>
      </c>
      <c r="E30" s="82">
        <v>42201425</v>
      </c>
      <c r="F30" s="85">
        <f>IFERROR(VLOOKUP(D30,'1월'!D:F,3,0),)</f>
        <v>0</v>
      </c>
      <c r="G30" s="58">
        <v>4</v>
      </c>
      <c r="H30" s="58"/>
      <c r="I30" s="58"/>
      <c r="J30" s="58"/>
      <c r="K30" s="81"/>
      <c r="L30" s="42" t="str">
        <f>IF($F30&gt;=L$2,"-",IF(IFERROR(VLOOKUP($G30,$U:$U,1,1),0)&gt;=L$2,"o","-"))</f>
        <v>o</v>
      </c>
      <c r="M30" s="42" t="str">
        <f>IF($F30&gt;=M$2,"-",IF(IFERROR(VLOOKUP($G30,$U:$U,1,1),0)&gt;=M$2,"o","-"))</f>
        <v>o</v>
      </c>
      <c r="N30" s="42" t="str">
        <f>IF($F30&gt;=N$2,"-",IF(IFERROR(VLOOKUP($G30,$U:$U,1,1),0)&gt;=N$2,"o","-"))</f>
        <v>-</v>
      </c>
      <c r="O30" s="42" t="str">
        <f>IF($F30&gt;=O$2,"-",IF(IFERROR(VLOOKUP($G30,$U:$U,1,1),0)&gt;=O$2,"o","-"))</f>
        <v>-</v>
      </c>
      <c r="P30" s="42" t="str">
        <f>IF($F30&gt;=P$2,"-",IF(IFERROR(VLOOKUP($G30,$U:$U,1,1),0)&gt;=P$2,"o","-"))</f>
        <v>-</v>
      </c>
      <c r="Q30" s="42" t="str">
        <f>IF($F30&gt;=Q$2,"-",IF(IFERROR(VLOOKUP($G30,$U:$U,1,1),0)&gt;=Q$2,"o","-"))</f>
        <v>-</v>
      </c>
      <c r="R30" s="42" t="str">
        <f>IF($F30&gt;=R$2,"-",IF(IFERROR(VLOOKUP($G30,$U:$U,1,1),0)&gt;=R$2,"o","-"))</f>
        <v>-</v>
      </c>
      <c r="S30" s="12">
        <f>IF(L30="o",50000,0)+IF(M30="o",100000,0)+IF(N30="o",200000,0)+IF(O30="o",400000,0)+IF(P30="o",600000,0)+IF(Q30="o",1000000,0)+IF(R30="o",2000000,0)</f>
        <v>150000</v>
      </c>
    </row>
    <row r="31" spans="2:21">
      <c r="B31" s="9">
        <v>26</v>
      </c>
      <c r="C31" s="10" t="s">
        <v>477</v>
      </c>
      <c r="D31" s="10" t="s">
        <v>711</v>
      </c>
      <c r="E31" s="82">
        <v>31700838</v>
      </c>
      <c r="F31" s="85">
        <f>IFERROR(VLOOKUP(D31,'1월'!D:F,3,0),)</f>
        <v>0</v>
      </c>
      <c r="G31" s="58">
        <v>4</v>
      </c>
      <c r="H31" s="58"/>
      <c r="I31" s="58"/>
      <c r="J31" s="58"/>
      <c r="K31" s="81"/>
      <c r="L31" s="42" t="str">
        <f>IF($F31&gt;=L$2,"-",IF(IFERROR(VLOOKUP($G31,$U:$U,1,1),0)&gt;=L$2,"o","-"))</f>
        <v>o</v>
      </c>
      <c r="M31" s="42" t="str">
        <f>IF($F31&gt;=M$2,"-",IF(IFERROR(VLOOKUP($G31,$U:$U,1,1),0)&gt;=M$2,"o","-"))</f>
        <v>o</v>
      </c>
      <c r="N31" s="42" t="str">
        <f>IF($F31&gt;=N$2,"-",IF(IFERROR(VLOOKUP($G31,$U:$U,1,1),0)&gt;=N$2,"o","-"))</f>
        <v>-</v>
      </c>
      <c r="O31" s="42" t="str">
        <f>IF($F31&gt;=O$2,"-",IF(IFERROR(VLOOKUP($G31,$U:$U,1,1),0)&gt;=O$2,"o","-"))</f>
        <v>-</v>
      </c>
      <c r="P31" s="42" t="str">
        <f>IF($F31&gt;=P$2,"-",IF(IFERROR(VLOOKUP($G31,$U:$U,1,1),0)&gt;=P$2,"o","-"))</f>
        <v>-</v>
      </c>
      <c r="Q31" s="42" t="str">
        <f>IF($F31&gt;=Q$2,"-",IF(IFERROR(VLOOKUP($G31,$U:$U,1,1),0)&gt;=Q$2,"o","-"))</f>
        <v>-</v>
      </c>
      <c r="R31" s="42" t="str">
        <f>IF($F31&gt;=R$2,"-",IF(IFERROR(VLOOKUP($G31,$U:$U,1,1),0)&gt;=R$2,"o","-"))</f>
        <v>-</v>
      </c>
      <c r="S31" s="12">
        <f>IF(L31="o",50000,0)+IF(M31="o",100000,0)+IF(N31="o",200000,0)+IF(O31="o",400000,0)+IF(P31="o",600000,0)+IF(Q31="o",1000000,0)+IF(R31="o",2000000,0)</f>
        <v>150000</v>
      </c>
    </row>
    <row r="32" spans="2:21">
      <c r="B32" s="9">
        <v>27</v>
      </c>
      <c r="C32" s="10" t="s">
        <v>478</v>
      </c>
      <c r="D32" s="10" t="s">
        <v>712</v>
      </c>
      <c r="E32" s="82">
        <v>41301010</v>
      </c>
      <c r="F32" s="85">
        <f>IFERROR(VLOOKUP(D32,'1월'!D:F,3,0),)</f>
        <v>0</v>
      </c>
      <c r="G32" s="58">
        <v>4</v>
      </c>
      <c r="H32" s="58"/>
      <c r="I32" s="58"/>
      <c r="J32" s="58"/>
      <c r="K32" s="81"/>
      <c r="L32" s="42" t="str">
        <f>IF($F32&gt;=L$2,"-",IF(IFERROR(VLOOKUP($G32,$U:$U,1,1),0)&gt;=L$2,"o","-"))</f>
        <v>o</v>
      </c>
      <c r="M32" s="42" t="str">
        <f>IF($F32&gt;=M$2,"-",IF(IFERROR(VLOOKUP($G32,$U:$U,1,1),0)&gt;=M$2,"o","-"))</f>
        <v>o</v>
      </c>
      <c r="N32" s="42" t="str">
        <f>IF($F32&gt;=N$2,"-",IF(IFERROR(VLOOKUP($G32,$U:$U,1,1),0)&gt;=N$2,"o","-"))</f>
        <v>-</v>
      </c>
      <c r="O32" s="42" t="str">
        <f>IF($F32&gt;=O$2,"-",IF(IFERROR(VLOOKUP($G32,$U:$U,1,1),0)&gt;=O$2,"o","-"))</f>
        <v>-</v>
      </c>
      <c r="P32" s="42" t="str">
        <f>IF($F32&gt;=P$2,"-",IF(IFERROR(VLOOKUP($G32,$U:$U,1,1),0)&gt;=P$2,"o","-"))</f>
        <v>-</v>
      </c>
      <c r="Q32" s="42" t="str">
        <f>IF($F32&gt;=Q$2,"-",IF(IFERROR(VLOOKUP($G32,$U:$U,1,1),0)&gt;=Q$2,"o","-"))</f>
        <v>-</v>
      </c>
      <c r="R32" s="42" t="str">
        <f>IF($F32&gt;=R$2,"-",IF(IFERROR(VLOOKUP($G32,$U:$U,1,1),0)&gt;=R$2,"o","-"))</f>
        <v>-</v>
      </c>
      <c r="S32" s="12">
        <f>IF(L32="o",50000,0)+IF(M32="o",100000,0)+IF(N32="o",200000,0)+IF(O32="o",400000,0)+IF(P32="o",600000,0)+IF(Q32="o",1000000,0)+IF(R32="o",2000000,0)</f>
        <v>150000</v>
      </c>
    </row>
    <row r="33" spans="2:19">
      <c r="B33" s="9">
        <v>28</v>
      </c>
      <c r="C33" s="10" t="s">
        <v>479</v>
      </c>
      <c r="D33" s="10" t="s">
        <v>713</v>
      </c>
      <c r="E33" s="82">
        <v>41009259</v>
      </c>
      <c r="F33" s="85">
        <f>IFERROR(VLOOKUP(D33,'1월'!D:F,3,0),)</f>
        <v>0</v>
      </c>
      <c r="G33" s="58">
        <v>4</v>
      </c>
      <c r="H33" s="58"/>
      <c r="I33" s="58"/>
      <c r="J33" s="58"/>
      <c r="K33" s="81"/>
      <c r="L33" s="42" t="str">
        <f>IF($F33&gt;=L$2,"-",IF(IFERROR(VLOOKUP($G33,$U:$U,1,1),0)&gt;=L$2,"o","-"))</f>
        <v>o</v>
      </c>
      <c r="M33" s="42" t="str">
        <f>IF($F33&gt;=M$2,"-",IF(IFERROR(VLOOKUP($G33,$U:$U,1,1),0)&gt;=M$2,"o","-"))</f>
        <v>o</v>
      </c>
      <c r="N33" s="42" t="str">
        <f>IF($F33&gt;=N$2,"-",IF(IFERROR(VLOOKUP($G33,$U:$U,1,1),0)&gt;=N$2,"o","-"))</f>
        <v>-</v>
      </c>
      <c r="O33" s="42" t="str">
        <f>IF($F33&gt;=O$2,"-",IF(IFERROR(VLOOKUP($G33,$U:$U,1,1),0)&gt;=O$2,"o","-"))</f>
        <v>-</v>
      </c>
      <c r="P33" s="42" t="str">
        <f>IF($F33&gt;=P$2,"-",IF(IFERROR(VLOOKUP($G33,$U:$U,1,1),0)&gt;=P$2,"o","-"))</f>
        <v>-</v>
      </c>
      <c r="Q33" s="42" t="str">
        <f>IF($F33&gt;=Q$2,"-",IF(IFERROR(VLOOKUP($G33,$U:$U,1,1),0)&gt;=Q$2,"o","-"))</f>
        <v>-</v>
      </c>
      <c r="R33" s="42" t="str">
        <f>IF($F33&gt;=R$2,"-",IF(IFERROR(VLOOKUP($G33,$U:$U,1,1),0)&gt;=R$2,"o","-"))</f>
        <v>-</v>
      </c>
      <c r="S33" s="12">
        <f>IF(L33="o",50000,0)+IF(M33="o",100000,0)+IF(N33="o",200000,0)+IF(O33="o",400000,0)+IF(P33="o",600000,0)+IF(Q33="o",1000000,0)+IF(R33="o",2000000,0)</f>
        <v>150000</v>
      </c>
    </row>
    <row r="34" spans="2:19">
      <c r="B34" s="9">
        <v>29</v>
      </c>
      <c r="C34" s="10" t="s">
        <v>480</v>
      </c>
      <c r="D34" s="10" t="s">
        <v>714</v>
      </c>
      <c r="E34" s="82">
        <v>31403072</v>
      </c>
      <c r="F34" s="85">
        <f>IFERROR(VLOOKUP(D34,'1월'!D:F,3,0),)</f>
        <v>0</v>
      </c>
      <c r="G34" s="58">
        <v>4</v>
      </c>
      <c r="H34" s="58"/>
      <c r="I34" s="58"/>
      <c r="J34" s="58"/>
      <c r="K34" s="81"/>
      <c r="L34" s="42" t="str">
        <f>IF($F34&gt;=L$2,"-",IF(IFERROR(VLOOKUP($G34,$U:$U,1,1),0)&gt;=L$2,"o","-"))</f>
        <v>o</v>
      </c>
      <c r="M34" s="42" t="str">
        <f>IF($F34&gt;=M$2,"-",IF(IFERROR(VLOOKUP($G34,$U:$U,1,1),0)&gt;=M$2,"o","-"))</f>
        <v>o</v>
      </c>
      <c r="N34" s="42" t="str">
        <f>IF($F34&gt;=N$2,"-",IF(IFERROR(VLOOKUP($G34,$U:$U,1,1),0)&gt;=N$2,"o","-"))</f>
        <v>-</v>
      </c>
      <c r="O34" s="42" t="str">
        <f>IF($F34&gt;=O$2,"-",IF(IFERROR(VLOOKUP($G34,$U:$U,1,1),0)&gt;=O$2,"o","-"))</f>
        <v>-</v>
      </c>
      <c r="P34" s="42" t="str">
        <f>IF($F34&gt;=P$2,"-",IF(IFERROR(VLOOKUP($G34,$U:$U,1,1),0)&gt;=P$2,"o","-"))</f>
        <v>-</v>
      </c>
      <c r="Q34" s="42" t="str">
        <f>IF($F34&gt;=Q$2,"-",IF(IFERROR(VLOOKUP($G34,$U:$U,1,1),0)&gt;=Q$2,"o","-"))</f>
        <v>-</v>
      </c>
      <c r="R34" s="42" t="str">
        <f>IF($F34&gt;=R$2,"-",IF(IFERROR(VLOOKUP($G34,$U:$U,1,1),0)&gt;=R$2,"o","-"))</f>
        <v>-</v>
      </c>
      <c r="S34" s="12">
        <f>IF(L34="o",50000,0)+IF(M34="o",100000,0)+IF(N34="o",200000,0)+IF(O34="o",400000,0)+IF(P34="o",600000,0)+IF(Q34="o",1000000,0)+IF(R34="o",2000000,0)</f>
        <v>150000</v>
      </c>
    </row>
    <row r="35" spans="2:19">
      <c r="B35" s="9">
        <v>30</v>
      </c>
      <c r="C35" s="10" t="s">
        <v>472</v>
      </c>
      <c r="D35" s="10" t="s">
        <v>715</v>
      </c>
      <c r="E35" s="82">
        <v>31800107</v>
      </c>
      <c r="F35" s="85">
        <f>IFERROR(VLOOKUP(D35,'1월'!D:F,3,0),)</f>
        <v>0</v>
      </c>
      <c r="G35" s="58">
        <v>4</v>
      </c>
      <c r="H35" s="58"/>
      <c r="I35" s="58"/>
      <c r="J35" s="58"/>
      <c r="K35" s="81"/>
      <c r="L35" s="42" t="str">
        <f>IF($F35&gt;=L$2,"-",IF(IFERROR(VLOOKUP($G35,$U:$U,1,1),0)&gt;=L$2,"o","-"))</f>
        <v>o</v>
      </c>
      <c r="M35" s="42" t="str">
        <f>IF($F35&gt;=M$2,"-",IF(IFERROR(VLOOKUP($G35,$U:$U,1,1),0)&gt;=M$2,"o","-"))</f>
        <v>o</v>
      </c>
      <c r="N35" s="42" t="str">
        <f>IF($F35&gt;=N$2,"-",IF(IFERROR(VLOOKUP($G35,$U:$U,1,1),0)&gt;=N$2,"o","-"))</f>
        <v>-</v>
      </c>
      <c r="O35" s="42" t="str">
        <f>IF($F35&gt;=O$2,"-",IF(IFERROR(VLOOKUP($G35,$U:$U,1,1),0)&gt;=O$2,"o","-"))</f>
        <v>-</v>
      </c>
      <c r="P35" s="42" t="str">
        <f>IF($F35&gt;=P$2,"-",IF(IFERROR(VLOOKUP($G35,$U:$U,1,1),0)&gt;=P$2,"o","-"))</f>
        <v>-</v>
      </c>
      <c r="Q35" s="42" t="str">
        <f>IF($F35&gt;=Q$2,"-",IF(IFERROR(VLOOKUP($G35,$U:$U,1,1),0)&gt;=Q$2,"o","-"))</f>
        <v>-</v>
      </c>
      <c r="R35" s="42" t="str">
        <f>IF($F35&gt;=R$2,"-",IF(IFERROR(VLOOKUP($G35,$U:$U,1,1),0)&gt;=R$2,"o","-"))</f>
        <v>-</v>
      </c>
      <c r="S35" s="12">
        <f>IF(L35="o",50000,0)+IF(M35="o",100000,0)+IF(N35="o",200000,0)+IF(O35="o",400000,0)+IF(P35="o",600000,0)+IF(Q35="o",1000000,0)+IF(R35="o",2000000,0)</f>
        <v>150000</v>
      </c>
    </row>
    <row r="36" spans="2:19">
      <c r="B36" s="9">
        <v>31</v>
      </c>
      <c r="C36" s="10" t="s">
        <v>481</v>
      </c>
      <c r="D36" s="10" t="s">
        <v>716</v>
      </c>
      <c r="E36" s="82">
        <v>42302045</v>
      </c>
      <c r="F36" s="85">
        <f>IFERROR(VLOOKUP(D36,'1월'!D:F,3,0),)</f>
        <v>0</v>
      </c>
      <c r="G36" s="58">
        <v>4</v>
      </c>
      <c r="H36" s="58"/>
      <c r="I36" s="58"/>
      <c r="J36" s="58"/>
      <c r="K36" s="81"/>
      <c r="L36" s="42" t="str">
        <f>IF($F36&gt;=L$2,"-",IF(IFERROR(VLOOKUP($G36,$U:$U,1,1),0)&gt;=L$2,"o","-"))</f>
        <v>o</v>
      </c>
      <c r="M36" s="42" t="str">
        <f>IF($F36&gt;=M$2,"-",IF(IFERROR(VLOOKUP($G36,$U:$U,1,1),0)&gt;=M$2,"o","-"))</f>
        <v>o</v>
      </c>
      <c r="N36" s="42" t="str">
        <f>IF($F36&gt;=N$2,"-",IF(IFERROR(VLOOKUP($G36,$U:$U,1,1),0)&gt;=N$2,"o","-"))</f>
        <v>-</v>
      </c>
      <c r="O36" s="42" t="str">
        <f>IF($F36&gt;=O$2,"-",IF(IFERROR(VLOOKUP($G36,$U:$U,1,1),0)&gt;=O$2,"o","-"))</f>
        <v>-</v>
      </c>
      <c r="P36" s="42" t="str">
        <f>IF($F36&gt;=P$2,"-",IF(IFERROR(VLOOKUP($G36,$U:$U,1,1),0)&gt;=P$2,"o","-"))</f>
        <v>-</v>
      </c>
      <c r="Q36" s="42" t="str">
        <f>IF($F36&gt;=Q$2,"-",IF(IFERROR(VLOOKUP($G36,$U:$U,1,1),0)&gt;=Q$2,"o","-"))</f>
        <v>-</v>
      </c>
      <c r="R36" s="42" t="str">
        <f>IF($F36&gt;=R$2,"-",IF(IFERROR(VLOOKUP($G36,$U:$U,1,1),0)&gt;=R$2,"o","-"))</f>
        <v>-</v>
      </c>
      <c r="S36" s="12">
        <f>IF(L36="o",50000,0)+IF(M36="o",100000,0)+IF(N36="o",200000,0)+IF(O36="o",400000,0)+IF(P36="o",600000,0)+IF(Q36="o",1000000,0)+IF(R36="o",2000000,0)</f>
        <v>150000</v>
      </c>
    </row>
    <row r="37" spans="2:19">
      <c r="B37" s="9">
        <v>32</v>
      </c>
      <c r="C37" s="10" t="s">
        <v>482</v>
      </c>
      <c r="D37" s="10" t="s">
        <v>717</v>
      </c>
      <c r="E37" s="82">
        <v>41502486</v>
      </c>
      <c r="F37" s="85">
        <f>IFERROR(VLOOKUP(D37,'1월'!D:F,3,0),)</f>
        <v>0</v>
      </c>
      <c r="G37" s="58">
        <v>4</v>
      </c>
      <c r="H37" s="58"/>
      <c r="I37" s="58"/>
      <c r="J37" s="58"/>
      <c r="K37" s="81"/>
      <c r="L37" s="42" t="str">
        <f>IF($F37&gt;=L$2,"-",IF(IFERROR(VLOOKUP($G37,$U:$U,1,1),0)&gt;=L$2,"o","-"))</f>
        <v>o</v>
      </c>
      <c r="M37" s="42" t="str">
        <f>IF($F37&gt;=M$2,"-",IF(IFERROR(VLOOKUP($G37,$U:$U,1,1),0)&gt;=M$2,"o","-"))</f>
        <v>o</v>
      </c>
      <c r="N37" s="42" t="str">
        <f>IF($F37&gt;=N$2,"-",IF(IFERROR(VLOOKUP($G37,$U:$U,1,1),0)&gt;=N$2,"o","-"))</f>
        <v>-</v>
      </c>
      <c r="O37" s="42" t="str">
        <f>IF($F37&gt;=O$2,"-",IF(IFERROR(VLOOKUP($G37,$U:$U,1,1),0)&gt;=O$2,"o","-"))</f>
        <v>-</v>
      </c>
      <c r="P37" s="42" t="str">
        <f>IF($F37&gt;=P$2,"-",IF(IFERROR(VLOOKUP($G37,$U:$U,1,1),0)&gt;=P$2,"o","-"))</f>
        <v>-</v>
      </c>
      <c r="Q37" s="42" t="str">
        <f>IF($F37&gt;=Q$2,"-",IF(IFERROR(VLOOKUP($G37,$U:$U,1,1),0)&gt;=Q$2,"o","-"))</f>
        <v>-</v>
      </c>
      <c r="R37" s="42" t="str">
        <f>IF($F37&gt;=R$2,"-",IF(IFERROR(VLOOKUP($G37,$U:$U,1,1),0)&gt;=R$2,"o","-"))</f>
        <v>-</v>
      </c>
      <c r="S37" s="12">
        <f>IF(L37="o",50000,0)+IF(M37="o",100000,0)+IF(N37="o",200000,0)+IF(O37="o",400000,0)+IF(P37="o",600000,0)+IF(Q37="o",1000000,0)+IF(R37="o",2000000,0)</f>
        <v>150000</v>
      </c>
    </row>
    <row r="38" spans="2:19">
      <c r="B38" s="9">
        <v>33</v>
      </c>
      <c r="C38" s="10" t="s">
        <v>104</v>
      </c>
      <c r="D38" s="10" t="s">
        <v>293</v>
      </c>
      <c r="E38" s="82">
        <v>31900395</v>
      </c>
      <c r="F38" s="85">
        <f>IFERROR(VLOOKUP(D38,'1월'!D:F,3,0),)</f>
        <v>2</v>
      </c>
      <c r="G38" s="58">
        <v>4</v>
      </c>
      <c r="H38" s="58"/>
      <c r="I38" s="58"/>
      <c r="J38" s="58"/>
      <c r="K38" s="81"/>
      <c r="L38" s="42" t="str">
        <f>IF($F38&gt;=L$2,"-",IF(IFERROR(VLOOKUP($G38,$U:$U,1,1),0)&gt;=L$2,"o","-"))</f>
        <v>-</v>
      </c>
      <c r="M38" s="42" t="str">
        <f>IF($F38&gt;=M$2,"-",IF(IFERROR(VLOOKUP($G38,$U:$U,1,1),0)&gt;=M$2,"o","-"))</f>
        <v>o</v>
      </c>
      <c r="N38" s="42" t="str">
        <f>IF($F38&gt;=N$2,"-",IF(IFERROR(VLOOKUP($G38,$U:$U,1,1),0)&gt;=N$2,"o","-"))</f>
        <v>-</v>
      </c>
      <c r="O38" s="42" t="str">
        <f>IF($F38&gt;=O$2,"-",IF(IFERROR(VLOOKUP($G38,$U:$U,1,1),0)&gt;=O$2,"o","-"))</f>
        <v>-</v>
      </c>
      <c r="P38" s="42" t="str">
        <f>IF($F38&gt;=P$2,"-",IF(IFERROR(VLOOKUP($G38,$U:$U,1,1),0)&gt;=P$2,"o","-"))</f>
        <v>-</v>
      </c>
      <c r="Q38" s="42" t="str">
        <f>IF($F38&gt;=Q$2,"-",IF(IFERROR(VLOOKUP($G38,$U:$U,1,1),0)&gt;=Q$2,"o","-"))</f>
        <v>-</v>
      </c>
      <c r="R38" s="42" t="str">
        <f>IF($F38&gt;=R$2,"-",IF(IFERROR(VLOOKUP($G38,$U:$U,1,1),0)&gt;=R$2,"o","-"))</f>
        <v>-</v>
      </c>
      <c r="S38" s="12">
        <f>IF(L38="o",50000,0)+IF(M38="o",100000,0)+IF(N38="o",200000,0)+IF(O38="o",400000,0)+IF(P38="o",600000,0)+IF(Q38="o",1000000,0)+IF(R38="o",2000000,0)</f>
        <v>100000</v>
      </c>
    </row>
    <row r="39" spans="2:19">
      <c r="B39" s="9">
        <v>34</v>
      </c>
      <c r="C39" s="10" t="s">
        <v>58</v>
      </c>
      <c r="D39" s="10" t="s">
        <v>246</v>
      </c>
      <c r="E39" s="82">
        <v>31107413</v>
      </c>
      <c r="F39" s="85">
        <f>IFERROR(VLOOKUP(D39,'1월'!D:F,3,0),)</f>
        <v>2</v>
      </c>
      <c r="G39" s="58">
        <v>4</v>
      </c>
      <c r="H39" s="58"/>
      <c r="I39" s="58"/>
      <c r="J39" s="58"/>
      <c r="K39" s="81"/>
      <c r="L39" s="42" t="str">
        <f>IF($F39&gt;=L$2,"-",IF(IFERROR(VLOOKUP($G39,$U:$U,1,1),0)&gt;=L$2,"o","-"))</f>
        <v>-</v>
      </c>
      <c r="M39" s="42" t="str">
        <f>IF($F39&gt;=M$2,"-",IF(IFERROR(VLOOKUP($G39,$U:$U,1,1),0)&gt;=M$2,"o","-"))</f>
        <v>o</v>
      </c>
      <c r="N39" s="42" t="str">
        <f>IF($F39&gt;=N$2,"-",IF(IFERROR(VLOOKUP($G39,$U:$U,1,1),0)&gt;=N$2,"o","-"))</f>
        <v>-</v>
      </c>
      <c r="O39" s="42" t="str">
        <f>IF($F39&gt;=O$2,"-",IF(IFERROR(VLOOKUP($G39,$U:$U,1,1),0)&gt;=O$2,"o","-"))</f>
        <v>-</v>
      </c>
      <c r="P39" s="42" t="str">
        <f>IF($F39&gt;=P$2,"-",IF(IFERROR(VLOOKUP($G39,$U:$U,1,1),0)&gt;=P$2,"o","-"))</f>
        <v>-</v>
      </c>
      <c r="Q39" s="42" t="str">
        <f>IF($F39&gt;=Q$2,"-",IF(IFERROR(VLOOKUP($G39,$U:$U,1,1),0)&gt;=Q$2,"o","-"))</f>
        <v>-</v>
      </c>
      <c r="R39" s="42" t="str">
        <f>IF($F39&gt;=R$2,"-",IF(IFERROR(VLOOKUP($G39,$U:$U,1,1),0)&gt;=R$2,"o","-"))</f>
        <v>-</v>
      </c>
      <c r="S39" s="12">
        <f>IF(L39="o",50000,0)+IF(M39="o",100000,0)+IF(N39="o",200000,0)+IF(O39="o",400000,0)+IF(P39="o",600000,0)+IF(Q39="o",1000000,0)+IF(R39="o",2000000,0)</f>
        <v>100000</v>
      </c>
    </row>
    <row r="40" spans="2:19">
      <c r="B40" s="9">
        <v>35</v>
      </c>
      <c r="C40" s="10" t="s">
        <v>123</v>
      </c>
      <c r="D40" s="10" t="s">
        <v>312</v>
      </c>
      <c r="E40" s="82">
        <v>40706274</v>
      </c>
      <c r="F40" s="85">
        <f>IFERROR(VLOOKUP(D40,'1월'!D:F,3,0),)</f>
        <v>2</v>
      </c>
      <c r="G40" s="58">
        <v>4</v>
      </c>
      <c r="H40" s="58"/>
      <c r="I40" s="58"/>
      <c r="J40" s="58"/>
      <c r="K40" s="81"/>
      <c r="L40" s="42" t="str">
        <f>IF($F40&gt;=L$2,"-",IF(IFERROR(VLOOKUP($G40,$U:$U,1,1),0)&gt;=L$2,"o","-"))</f>
        <v>-</v>
      </c>
      <c r="M40" s="42" t="str">
        <f>IF($F40&gt;=M$2,"-",IF(IFERROR(VLOOKUP($G40,$U:$U,1,1),0)&gt;=M$2,"o","-"))</f>
        <v>o</v>
      </c>
      <c r="N40" s="42" t="str">
        <f>IF($F40&gt;=N$2,"-",IF(IFERROR(VLOOKUP($G40,$U:$U,1,1),0)&gt;=N$2,"o","-"))</f>
        <v>-</v>
      </c>
      <c r="O40" s="42" t="str">
        <f>IF($F40&gt;=O$2,"-",IF(IFERROR(VLOOKUP($G40,$U:$U,1,1),0)&gt;=O$2,"o","-"))</f>
        <v>-</v>
      </c>
      <c r="P40" s="42" t="str">
        <f>IF($F40&gt;=P$2,"-",IF(IFERROR(VLOOKUP($G40,$U:$U,1,1),0)&gt;=P$2,"o","-"))</f>
        <v>-</v>
      </c>
      <c r="Q40" s="42" t="str">
        <f>IF($F40&gt;=Q$2,"-",IF(IFERROR(VLOOKUP($G40,$U:$U,1,1),0)&gt;=Q$2,"o","-"))</f>
        <v>-</v>
      </c>
      <c r="R40" s="42" t="str">
        <f>IF($F40&gt;=R$2,"-",IF(IFERROR(VLOOKUP($G40,$U:$U,1,1),0)&gt;=R$2,"o","-"))</f>
        <v>-</v>
      </c>
      <c r="S40" s="12">
        <f>IF(L40="o",50000,0)+IF(M40="o",100000,0)+IF(N40="o",200000,0)+IF(O40="o",400000,0)+IF(P40="o",600000,0)+IF(Q40="o",1000000,0)+IF(R40="o",2000000,0)</f>
        <v>100000</v>
      </c>
    </row>
    <row r="41" spans="2:19">
      <c r="B41" s="9">
        <v>36</v>
      </c>
      <c r="C41" s="10" t="s">
        <v>126</v>
      </c>
      <c r="D41" s="10" t="s">
        <v>315</v>
      </c>
      <c r="E41" s="82">
        <v>42302531</v>
      </c>
      <c r="F41" s="85">
        <f>IFERROR(VLOOKUP(D41,'1월'!D:F,3,0),)</f>
        <v>2</v>
      </c>
      <c r="G41" s="58">
        <v>4</v>
      </c>
      <c r="H41" s="58"/>
      <c r="I41" s="58"/>
      <c r="J41" s="58"/>
      <c r="K41" s="81"/>
      <c r="L41" s="42" t="str">
        <f>IF($F41&gt;=L$2,"-",IF(IFERROR(VLOOKUP($G41,$U:$U,1,1),0)&gt;=L$2,"o","-"))</f>
        <v>-</v>
      </c>
      <c r="M41" s="42" t="str">
        <f>IF($F41&gt;=M$2,"-",IF(IFERROR(VLOOKUP($G41,$U:$U,1,1),0)&gt;=M$2,"o","-"))</f>
        <v>o</v>
      </c>
      <c r="N41" s="42" t="str">
        <f>IF($F41&gt;=N$2,"-",IF(IFERROR(VLOOKUP($G41,$U:$U,1,1),0)&gt;=N$2,"o","-"))</f>
        <v>-</v>
      </c>
      <c r="O41" s="42" t="str">
        <f>IF($F41&gt;=O$2,"-",IF(IFERROR(VLOOKUP($G41,$U:$U,1,1),0)&gt;=O$2,"o","-"))</f>
        <v>-</v>
      </c>
      <c r="P41" s="42" t="str">
        <f>IF($F41&gt;=P$2,"-",IF(IFERROR(VLOOKUP($G41,$U:$U,1,1),0)&gt;=P$2,"o","-"))</f>
        <v>-</v>
      </c>
      <c r="Q41" s="42" t="str">
        <f>IF($F41&gt;=Q$2,"-",IF(IFERROR(VLOOKUP($G41,$U:$U,1,1),0)&gt;=Q$2,"o","-"))</f>
        <v>-</v>
      </c>
      <c r="R41" s="42" t="str">
        <f>IF($F41&gt;=R$2,"-",IF(IFERROR(VLOOKUP($G41,$U:$U,1,1),0)&gt;=R$2,"o","-"))</f>
        <v>-</v>
      </c>
      <c r="S41" s="12">
        <f>IF(L41="o",50000,0)+IF(M41="o",100000,0)+IF(N41="o",200000,0)+IF(O41="o",400000,0)+IF(P41="o",600000,0)+IF(Q41="o",1000000,0)+IF(R41="o",2000000,0)</f>
        <v>100000</v>
      </c>
    </row>
    <row r="42" spans="2:19">
      <c r="B42" s="9">
        <v>37</v>
      </c>
      <c r="C42" s="10" t="s">
        <v>86</v>
      </c>
      <c r="D42" s="10" t="s">
        <v>274</v>
      </c>
      <c r="E42" s="82">
        <v>32001176</v>
      </c>
      <c r="F42" s="85">
        <f>IFERROR(VLOOKUP(D42,'1월'!D:F,3,0),)</f>
        <v>2</v>
      </c>
      <c r="G42" s="58">
        <v>4</v>
      </c>
      <c r="H42" s="58"/>
      <c r="I42" s="58"/>
      <c r="J42" s="58"/>
      <c r="K42" s="81"/>
      <c r="L42" s="42" t="str">
        <f>IF($F42&gt;=L$2,"-",IF(IFERROR(VLOOKUP($G42,$U:$U,1,1),0)&gt;=L$2,"o","-"))</f>
        <v>-</v>
      </c>
      <c r="M42" s="42" t="str">
        <f>IF($F42&gt;=M$2,"-",IF(IFERROR(VLOOKUP($G42,$U:$U,1,1),0)&gt;=M$2,"o","-"))</f>
        <v>o</v>
      </c>
      <c r="N42" s="42" t="str">
        <f>IF($F42&gt;=N$2,"-",IF(IFERROR(VLOOKUP($G42,$U:$U,1,1),0)&gt;=N$2,"o","-"))</f>
        <v>-</v>
      </c>
      <c r="O42" s="42" t="str">
        <f>IF($F42&gt;=O$2,"-",IF(IFERROR(VLOOKUP($G42,$U:$U,1,1),0)&gt;=O$2,"o","-"))</f>
        <v>-</v>
      </c>
      <c r="P42" s="42" t="str">
        <f>IF($F42&gt;=P$2,"-",IF(IFERROR(VLOOKUP($G42,$U:$U,1,1),0)&gt;=P$2,"o","-"))</f>
        <v>-</v>
      </c>
      <c r="Q42" s="42" t="str">
        <f>IF($F42&gt;=Q$2,"-",IF(IFERROR(VLOOKUP($G42,$U:$U,1,1),0)&gt;=Q$2,"o","-"))</f>
        <v>-</v>
      </c>
      <c r="R42" s="42" t="str">
        <f>IF($F42&gt;=R$2,"-",IF(IFERROR(VLOOKUP($G42,$U:$U,1,1),0)&gt;=R$2,"o","-"))</f>
        <v>-</v>
      </c>
      <c r="S42" s="12">
        <f>IF(L42="o",50000,0)+IF(M42="o",100000,0)+IF(N42="o",200000,0)+IF(O42="o",400000,0)+IF(P42="o",600000,0)+IF(Q42="o",1000000,0)+IF(R42="o",2000000,0)</f>
        <v>100000</v>
      </c>
    </row>
    <row r="43" spans="2:19">
      <c r="B43" s="9">
        <v>38</v>
      </c>
      <c r="C43" s="10" t="s">
        <v>179</v>
      </c>
      <c r="D43" s="10" t="s">
        <v>369</v>
      </c>
      <c r="E43" s="82">
        <v>40717371</v>
      </c>
      <c r="F43" s="85">
        <f>IFERROR(VLOOKUP(D43,'1월'!D:F,3,0),)</f>
        <v>2</v>
      </c>
      <c r="G43" s="58">
        <v>4</v>
      </c>
      <c r="H43" s="58"/>
      <c r="I43" s="58"/>
      <c r="J43" s="58"/>
      <c r="K43" s="81"/>
      <c r="L43" s="42" t="str">
        <f>IF($F43&gt;=L$2,"-",IF(IFERROR(VLOOKUP($G43,$U:$U,1,1),0)&gt;=L$2,"o","-"))</f>
        <v>-</v>
      </c>
      <c r="M43" s="42" t="str">
        <f>IF($F43&gt;=M$2,"-",IF(IFERROR(VLOOKUP($G43,$U:$U,1,1),0)&gt;=M$2,"o","-"))</f>
        <v>o</v>
      </c>
      <c r="N43" s="42" t="str">
        <f>IF($F43&gt;=N$2,"-",IF(IFERROR(VLOOKUP($G43,$U:$U,1,1),0)&gt;=N$2,"o","-"))</f>
        <v>-</v>
      </c>
      <c r="O43" s="42" t="str">
        <f>IF($F43&gt;=O$2,"-",IF(IFERROR(VLOOKUP($G43,$U:$U,1,1),0)&gt;=O$2,"o","-"))</f>
        <v>-</v>
      </c>
      <c r="P43" s="42" t="str">
        <f>IF($F43&gt;=P$2,"-",IF(IFERROR(VLOOKUP($G43,$U:$U,1,1),0)&gt;=P$2,"o","-"))</f>
        <v>-</v>
      </c>
      <c r="Q43" s="42" t="str">
        <f>IF($F43&gt;=Q$2,"-",IF(IFERROR(VLOOKUP($G43,$U:$U,1,1),0)&gt;=Q$2,"o","-"))</f>
        <v>-</v>
      </c>
      <c r="R43" s="42" t="str">
        <f>IF($F43&gt;=R$2,"-",IF(IFERROR(VLOOKUP($G43,$U:$U,1,1),0)&gt;=R$2,"o","-"))</f>
        <v>-</v>
      </c>
      <c r="S43" s="12">
        <f>IF(L43="o",50000,0)+IF(M43="o",100000,0)+IF(N43="o",200000,0)+IF(O43="o",400000,0)+IF(P43="o",600000,0)+IF(Q43="o",1000000,0)+IF(R43="o",2000000,0)</f>
        <v>100000</v>
      </c>
    </row>
    <row r="44" spans="2:19">
      <c r="B44" s="9">
        <v>39</v>
      </c>
      <c r="C44" s="10" t="s">
        <v>157</v>
      </c>
      <c r="D44" s="10" t="s">
        <v>346</v>
      </c>
      <c r="E44" s="82">
        <v>32409147</v>
      </c>
      <c r="F44" s="85">
        <f>IFERROR(VLOOKUP(D44,'1월'!D:F,3,0),)</f>
        <v>2</v>
      </c>
      <c r="G44" s="58">
        <v>4</v>
      </c>
      <c r="H44" s="58"/>
      <c r="I44" s="58"/>
      <c r="J44" s="58"/>
      <c r="K44" s="81"/>
      <c r="L44" s="42" t="str">
        <f>IF($F44&gt;=L$2,"-",IF(IFERROR(VLOOKUP($G44,$U:$U,1,1),0)&gt;=L$2,"o","-"))</f>
        <v>-</v>
      </c>
      <c r="M44" s="42" t="str">
        <f>IF($F44&gt;=M$2,"-",IF(IFERROR(VLOOKUP($G44,$U:$U,1,1),0)&gt;=M$2,"o","-"))</f>
        <v>o</v>
      </c>
      <c r="N44" s="42" t="str">
        <f>IF($F44&gt;=N$2,"-",IF(IFERROR(VLOOKUP($G44,$U:$U,1,1),0)&gt;=N$2,"o","-"))</f>
        <v>-</v>
      </c>
      <c r="O44" s="42" t="str">
        <f>IF($F44&gt;=O$2,"-",IF(IFERROR(VLOOKUP($G44,$U:$U,1,1),0)&gt;=O$2,"o","-"))</f>
        <v>-</v>
      </c>
      <c r="P44" s="42" t="str">
        <f>IF($F44&gt;=P$2,"-",IF(IFERROR(VLOOKUP($G44,$U:$U,1,1),0)&gt;=P$2,"o","-"))</f>
        <v>-</v>
      </c>
      <c r="Q44" s="42" t="str">
        <f>IF($F44&gt;=Q$2,"-",IF(IFERROR(VLOOKUP($G44,$U:$U,1,1),0)&gt;=Q$2,"o","-"))</f>
        <v>-</v>
      </c>
      <c r="R44" s="42" t="str">
        <f>IF($F44&gt;=R$2,"-",IF(IFERROR(VLOOKUP($G44,$U:$U,1,1),0)&gt;=R$2,"o","-"))</f>
        <v>-</v>
      </c>
      <c r="S44" s="12">
        <f>IF(L44="o",50000,0)+IF(M44="o",100000,0)+IF(N44="o",200000,0)+IF(O44="o",400000,0)+IF(P44="o",600000,0)+IF(Q44="o",1000000,0)+IF(R44="o",2000000,0)</f>
        <v>100000</v>
      </c>
    </row>
    <row r="45" spans="2:19">
      <c r="B45" s="9">
        <v>40</v>
      </c>
      <c r="C45" s="10" t="s">
        <v>67</v>
      </c>
      <c r="D45" s="10" t="s">
        <v>255</v>
      </c>
      <c r="E45" s="82">
        <v>32406555</v>
      </c>
      <c r="F45" s="85">
        <f>IFERROR(VLOOKUP(D45,'1월'!D:F,3,0),)</f>
        <v>2</v>
      </c>
      <c r="G45" s="58">
        <v>4</v>
      </c>
      <c r="H45" s="58"/>
      <c r="I45" s="58"/>
      <c r="J45" s="58"/>
      <c r="K45" s="81"/>
      <c r="L45" s="42" t="str">
        <f>IF($F45&gt;=L$2,"-",IF(IFERROR(VLOOKUP($G45,$U:$U,1,1),0)&gt;=L$2,"o","-"))</f>
        <v>-</v>
      </c>
      <c r="M45" s="42" t="str">
        <f>IF($F45&gt;=M$2,"-",IF(IFERROR(VLOOKUP($G45,$U:$U,1,1),0)&gt;=M$2,"o","-"))</f>
        <v>o</v>
      </c>
      <c r="N45" s="42" t="str">
        <f>IF($F45&gt;=N$2,"-",IF(IFERROR(VLOOKUP($G45,$U:$U,1,1),0)&gt;=N$2,"o","-"))</f>
        <v>-</v>
      </c>
      <c r="O45" s="42" t="str">
        <f>IF($F45&gt;=O$2,"-",IF(IFERROR(VLOOKUP($G45,$U:$U,1,1),0)&gt;=O$2,"o","-"))</f>
        <v>-</v>
      </c>
      <c r="P45" s="42" t="str">
        <f>IF($F45&gt;=P$2,"-",IF(IFERROR(VLOOKUP($G45,$U:$U,1,1),0)&gt;=P$2,"o","-"))</f>
        <v>-</v>
      </c>
      <c r="Q45" s="42" t="str">
        <f>IF($F45&gt;=Q$2,"-",IF(IFERROR(VLOOKUP($G45,$U:$U,1,1),0)&gt;=Q$2,"o","-"))</f>
        <v>-</v>
      </c>
      <c r="R45" s="42" t="str">
        <f>IF($F45&gt;=R$2,"-",IF(IFERROR(VLOOKUP($G45,$U:$U,1,1),0)&gt;=R$2,"o","-"))</f>
        <v>-</v>
      </c>
      <c r="S45" s="12">
        <f>IF(L45="o",50000,0)+IF(M45="o",100000,0)+IF(N45="o",200000,0)+IF(O45="o",400000,0)+IF(P45="o",600000,0)+IF(Q45="o",1000000,0)+IF(R45="o",2000000,0)</f>
        <v>100000</v>
      </c>
    </row>
    <row r="46" spans="2:19">
      <c r="B46" s="9">
        <v>41</v>
      </c>
      <c r="C46" s="10" t="s">
        <v>134</v>
      </c>
      <c r="D46" s="10" t="s">
        <v>323</v>
      </c>
      <c r="E46" s="82">
        <v>41308789</v>
      </c>
      <c r="F46" s="85">
        <f>IFERROR(VLOOKUP(D46,'1월'!D:F,3,0),)</f>
        <v>2</v>
      </c>
      <c r="G46" s="58">
        <v>4</v>
      </c>
      <c r="H46" s="58"/>
      <c r="I46" s="58"/>
      <c r="J46" s="58"/>
      <c r="K46" s="81"/>
      <c r="L46" s="42" t="str">
        <f>IF($F46&gt;=L$2,"-",IF(IFERROR(VLOOKUP($G46,$U:$U,1,1),0)&gt;=L$2,"o","-"))</f>
        <v>-</v>
      </c>
      <c r="M46" s="42" t="str">
        <f>IF($F46&gt;=M$2,"-",IF(IFERROR(VLOOKUP($G46,$U:$U,1,1),0)&gt;=M$2,"o","-"))</f>
        <v>o</v>
      </c>
      <c r="N46" s="42" t="str">
        <f>IF($F46&gt;=N$2,"-",IF(IFERROR(VLOOKUP($G46,$U:$U,1,1),0)&gt;=N$2,"o","-"))</f>
        <v>-</v>
      </c>
      <c r="O46" s="42" t="str">
        <f>IF($F46&gt;=O$2,"-",IF(IFERROR(VLOOKUP($G46,$U:$U,1,1),0)&gt;=O$2,"o","-"))</f>
        <v>-</v>
      </c>
      <c r="P46" s="42" t="str">
        <f>IF($F46&gt;=P$2,"-",IF(IFERROR(VLOOKUP($G46,$U:$U,1,1),0)&gt;=P$2,"o","-"))</f>
        <v>-</v>
      </c>
      <c r="Q46" s="42" t="str">
        <f>IF($F46&gt;=Q$2,"-",IF(IFERROR(VLOOKUP($G46,$U:$U,1,1),0)&gt;=Q$2,"o","-"))</f>
        <v>-</v>
      </c>
      <c r="R46" s="42" t="str">
        <f>IF($F46&gt;=R$2,"-",IF(IFERROR(VLOOKUP($G46,$U:$U,1,1),0)&gt;=R$2,"o","-"))</f>
        <v>-</v>
      </c>
      <c r="S46" s="12">
        <f>IF(L46="o",50000,0)+IF(M46="o",100000,0)+IF(N46="o",200000,0)+IF(O46="o",400000,0)+IF(P46="o",600000,0)+IF(Q46="o",1000000,0)+IF(R46="o",2000000,0)</f>
        <v>100000</v>
      </c>
    </row>
    <row r="47" spans="2:19">
      <c r="B47" s="9">
        <v>42</v>
      </c>
      <c r="C47" s="10" t="s">
        <v>91</v>
      </c>
      <c r="D47" s="10" t="s">
        <v>279</v>
      </c>
      <c r="E47" s="82">
        <v>32407077</v>
      </c>
      <c r="F47" s="85">
        <f>IFERROR(VLOOKUP(D47,'1월'!D:F,3,0),)</f>
        <v>2</v>
      </c>
      <c r="G47" s="58">
        <v>4</v>
      </c>
      <c r="H47" s="58"/>
      <c r="I47" s="58"/>
      <c r="J47" s="58"/>
      <c r="K47" s="81"/>
      <c r="L47" s="42" t="str">
        <f>IF($F47&gt;=L$2,"-",IF(IFERROR(VLOOKUP($G47,$U:$U,1,1),0)&gt;=L$2,"o","-"))</f>
        <v>-</v>
      </c>
      <c r="M47" s="42" t="str">
        <f>IF($F47&gt;=M$2,"-",IF(IFERROR(VLOOKUP($G47,$U:$U,1,1),0)&gt;=M$2,"o","-"))</f>
        <v>o</v>
      </c>
      <c r="N47" s="42" t="str">
        <f>IF($F47&gt;=N$2,"-",IF(IFERROR(VLOOKUP($G47,$U:$U,1,1),0)&gt;=N$2,"o","-"))</f>
        <v>-</v>
      </c>
      <c r="O47" s="42" t="str">
        <f>IF($F47&gt;=O$2,"-",IF(IFERROR(VLOOKUP($G47,$U:$U,1,1),0)&gt;=O$2,"o","-"))</f>
        <v>-</v>
      </c>
      <c r="P47" s="42" t="str">
        <f>IF($F47&gt;=P$2,"-",IF(IFERROR(VLOOKUP($G47,$U:$U,1,1),0)&gt;=P$2,"o","-"))</f>
        <v>-</v>
      </c>
      <c r="Q47" s="42" t="str">
        <f>IF($F47&gt;=Q$2,"-",IF(IFERROR(VLOOKUP($G47,$U:$U,1,1),0)&gt;=Q$2,"o","-"))</f>
        <v>-</v>
      </c>
      <c r="R47" s="42" t="str">
        <f>IF($F47&gt;=R$2,"-",IF(IFERROR(VLOOKUP($G47,$U:$U,1,1),0)&gt;=R$2,"o","-"))</f>
        <v>-</v>
      </c>
      <c r="S47" s="12">
        <f>IF(L47="o",50000,0)+IF(M47="o",100000,0)+IF(N47="o",200000,0)+IF(O47="o",400000,0)+IF(P47="o",600000,0)+IF(Q47="o",1000000,0)+IF(R47="o",2000000,0)</f>
        <v>100000</v>
      </c>
    </row>
    <row r="48" spans="2:19">
      <c r="B48" s="9">
        <v>43</v>
      </c>
      <c r="C48" s="10" t="s">
        <v>39</v>
      </c>
      <c r="D48" s="10" t="s">
        <v>227</v>
      </c>
      <c r="E48" s="82">
        <v>41500163</v>
      </c>
      <c r="F48" s="85">
        <f>IFERROR(VLOOKUP(D48,'1월'!D:F,3,0),)</f>
        <v>2</v>
      </c>
      <c r="G48" s="58">
        <v>4</v>
      </c>
      <c r="H48" s="58"/>
      <c r="I48" s="58"/>
      <c r="J48" s="58"/>
      <c r="K48" s="81"/>
      <c r="L48" s="42" t="str">
        <f>IF($F48&gt;=L$2,"-",IF(IFERROR(VLOOKUP($G48,$U:$U,1,1),0)&gt;=L$2,"o","-"))</f>
        <v>-</v>
      </c>
      <c r="M48" s="42" t="str">
        <f>IF($F48&gt;=M$2,"-",IF(IFERROR(VLOOKUP($G48,$U:$U,1,1),0)&gt;=M$2,"o","-"))</f>
        <v>o</v>
      </c>
      <c r="N48" s="42" t="str">
        <f>IF($F48&gt;=N$2,"-",IF(IFERROR(VLOOKUP($G48,$U:$U,1,1),0)&gt;=N$2,"o","-"))</f>
        <v>-</v>
      </c>
      <c r="O48" s="42" t="str">
        <f>IF($F48&gt;=O$2,"-",IF(IFERROR(VLOOKUP($G48,$U:$U,1,1),0)&gt;=O$2,"o","-"))</f>
        <v>-</v>
      </c>
      <c r="P48" s="42" t="str">
        <f>IF($F48&gt;=P$2,"-",IF(IFERROR(VLOOKUP($G48,$U:$U,1,1),0)&gt;=P$2,"o","-"))</f>
        <v>-</v>
      </c>
      <c r="Q48" s="42" t="str">
        <f>IF($F48&gt;=Q$2,"-",IF(IFERROR(VLOOKUP($G48,$U:$U,1,1),0)&gt;=Q$2,"o","-"))</f>
        <v>-</v>
      </c>
      <c r="R48" s="42" t="str">
        <f>IF($F48&gt;=R$2,"-",IF(IFERROR(VLOOKUP($G48,$U:$U,1,1),0)&gt;=R$2,"o","-"))</f>
        <v>-</v>
      </c>
      <c r="S48" s="12">
        <f>IF(L48="o",50000,0)+IF(M48="o",100000,0)+IF(N48="o",200000,0)+IF(O48="o",400000,0)+IF(P48="o",600000,0)+IF(Q48="o",1000000,0)+IF(R48="o",2000000,0)</f>
        <v>100000</v>
      </c>
    </row>
    <row r="49" spans="2:19">
      <c r="B49" s="9">
        <v>44</v>
      </c>
      <c r="C49" s="10" t="s">
        <v>49</v>
      </c>
      <c r="D49" s="10" t="s">
        <v>237</v>
      </c>
      <c r="E49" s="82">
        <v>31800792</v>
      </c>
      <c r="F49" s="85">
        <f>IFERROR(VLOOKUP(D49,'1월'!D:F,3,0),)</f>
        <v>2</v>
      </c>
      <c r="G49" s="58">
        <v>4</v>
      </c>
      <c r="H49" s="58"/>
      <c r="I49" s="58"/>
      <c r="J49" s="58"/>
      <c r="K49" s="81"/>
      <c r="L49" s="42" t="str">
        <f>IF($F49&gt;=L$2,"-",IF(IFERROR(VLOOKUP($G49,$U:$U,1,1),0)&gt;=L$2,"o","-"))</f>
        <v>-</v>
      </c>
      <c r="M49" s="42" t="str">
        <f>IF($F49&gt;=M$2,"-",IF(IFERROR(VLOOKUP($G49,$U:$U,1,1),0)&gt;=M$2,"o","-"))</f>
        <v>o</v>
      </c>
      <c r="N49" s="42" t="str">
        <f>IF($F49&gt;=N$2,"-",IF(IFERROR(VLOOKUP($G49,$U:$U,1,1),0)&gt;=N$2,"o","-"))</f>
        <v>-</v>
      </c>
      <c r="O49" s="42" t="str">
        <f>IF($F49&gt;=O$2,"-",IF(IFERROR(VLOOKUP($G49,$U:$U,1,1),0)&gt;=O$2,"o","-"))</f>
        <v>-</v>
      </c>
      <c r="P49" s="42" t="str">
        <f>IF($F49&gt;=P$2,"-",IF(IFERROR(VLOOKUP($G49,$U:$U,1,1),0)&gt;=P$2,"o","-"))</f>
        <v>-</v>
      </c>
      <c r="Q49" s="42" t="str">
        <f>IF($F49&gt;=Q$2,"-",IF(IFERROR(VLOOKUP($G49,$U:$U,1,1),0)&gt;=Q$2,"o","-"))</f>
        <v>-</v>
      </c>
      <c r="R49" s="42" t="str">
        <f>IF($F49&gt;=R$2,"-",IF(IFERROR(VLOOKUP($G49,$U:$U,1,1),0)&gt;=R$2,"o","-"))</f>
        <v>-</v>
      </c>
      <c r="S49" s="12">
        <f>IF(L49="o",50000,0)+IF(M49="o",100000,0)+IF(N49="o",200000,0)+IF(O49="o",400000,0)+IF(P49="o",600000,0)+IF(Q49="o",1000000,0)+IF(R49="o",2000000,0)</f>
        <v>100000</v>
      </c>
    </row>
    <row r="50" spans="2:19">
      <c r="B50" s="9">
        <v>45</v>
      </c>
      <c r="C50" s="10" t="s">
        <v>50</v>
      </c>
      <c r="D50" s="10" t="s">
        <v>238</v>
      </c>
      <c r="E50" s="82">
        <v>40700667</v>
      </c>
      <c r="F50" s="85">
        <f>IFERROR(VLOOKUP(D50,'1월'!D:F,3,0),)</f>
        <v>2</v>
      </c>
      <c r="G50" s="58">
        <v>4</v>
      </c>
      <c r="H50" s="58"/>
      <c r="I50" s="58"/>
      <c r="J50" s="58"/>
      <c r="K50" s="81"/>
      <c r="L50" s="42" t="str">
        <f>IF($F50&gt;=L$2,"-",IF(IFERROR(VLOOKUP($G50,$U:$U,1,1),0)&gt;=L$2,"o","-"))</f>
        <v>-</v>
      </c>
      <c r="M50" s="42" t="str">
        <f>IF($F50&gt;=M$2,"-",IF(IFERROR(VLOOKUP($G50,$U:$U,1,1),0)&gt;=M$2,"o","-"))</f>
        <v>o</v>
      </c>
      <c r="N50" s="42" t="str">
        <f>IF($F50&gt;=N$2,"-",IF(IFERROR(VLOOKUP($G50,$U:$U,1,1),0)&gt;=N$2,"o","-"))</f>
        <v>-</v>
      </c>
      <c r="O50" s="42" t="str">
        <f>IF($F50&gt;=O$2,"-",IF(IFERROR(VLOOKUP($G50,$U:$U,1,1),0)&gt;=O$2,"o","-"))</f>
        <v>-</v>
      </c>
      <c r="P50" s="42" t="str">
        <f>IF($F50&gt;=P$2,"-",IF(IFERROR(VLOOKUP($G50,$U:$U,1,1),0)&gt;=P$2,"o","-"))</f>
        <v>-</v>
      </c>
      <c r="Q50" s="42" t="str">
        <f>IF($F50&gt;=Q$2,"-",IF(IFERROR(VLOOKUP($G50,$U:$U,1,1),0)&gt;=Q$2,"o","-"))</f>
        <v>-</v>
      </c>
      <c r="R50" s="42" t="str">
        <f>IF($F50&gt;=R$2,"-",IF(IFERROR(VLOOKUP($G50,$U:$U,1,1),0)&gt;=R$2,"o","-"))</f>
        <v>-</v>
      </c>
      <c r="S50" s="12">
        <f>IF(L50="o",50000,0)+IF(M50="o",100000,0)+IF(N50="o",200000,0)+IF(O50="o",400000,0)+IF(P50="o",600000,0)+IF(Q50="o",1000000,0)+IF(R50="o",2000000,0)</f>
        <v>100000</v>
      </c>
    </row>
    <row r="51" spans="2:19">
      <c r="B51" s="9">
        <v>46</v>
      </c>
      <c r="C51" s="10" t="s">
        <v>25</v>
      </c>
      <c r="D51" s="10" t="s">
        <v>213</v>
      </c>
      <c r="E51" s="82">
        <v>40800549</v>
      </c>
      <c r="F51" s="85">
        <f>IFERROR(VLOOKUP(D51,'1월'!D:F,3,0),)</f>
        <v>2</v>
      </c>
      <c r="G51" s="58">
        <v>4</v>
      </c>
      <c r="H51" s="58"/>
      <c r="I51" s="58"/>
      <c r="J51" s="58"/>
      <c r="K51" s="81"/>
      <c r="L51" s="42" t="str">
        <f>IF($F51&gt;=L$2,"-",IF(IFERROR(VLOOKUP($G51,$U:$U,1,1),0)&gt;=L$2,"o","-"))</f>
        <v>-</v>
      </c>
      <c r="M51" s="42" t="str">
        <f>IF($F51&gt;=M$2,"-",IF(IFERROR(VLOOKUP($G51,$U:$U,1,1),0)&gt;=M$2,"o","-"))</f>
        <v>o</v>
      </c>
      <c r="N51" s="42" t="str">
        <f>IF($F51&gt;=N$2,"-",IF(IFERROR(VLOOKUP($G51,$U:$U,1,1),0)&gt;=N$2,"o","-"))</f>
        <v>-</v>
      </c>
      <c r="O51" s="42" t="str">
        <f>IF($F51&gt;=O$2,"-",IF(IFERROR(VLOOKUP($G51,$U:$U,1,1),0)&gt;=O$2,"o","-"))</f>
        <v>-</v>
      </c>
      <c r="P51" s="42" t="str">
        <f>IF($F51&gt;=P$2,"-",IF(IFERROR(VLOOKUP($G51,$U:$U,1,1),0)&gt;=P$2,"o","-"))</f>
        <v>-</v>
      </c>
      <c r="Q51" s="42" t="str">
        <f>IF($F51&gt;=Q$2,"-",IF(IFERROR(VLOOKUP($G51,$U:$U,1,1),0)&gt;=Q$2,"o","-"))</f>
        <v>-</v>
      </c>
      <c r="R51" s="42" t="str">
        <f>IF($F51&gt;=R$2,"-",IF(IFERROR(VLOOKUP($G51,$U:$U,1,1),0)&gt;=R$2,"o","-"))</f>
        <v>-</v>
      </c>
      <c r="S51" s="12">
        <f>IF(L51="o",50000,0)+IF(M51="o",100000,0)+IF(N51="o",200000,0)+IF(O51="o",400000,0)+IF(P51="o",600000,0)+IF(Q51="o",1000000,0)+IF(R51="o",2000000,0)</f>
        <v>100000</v>
      </c>
    </row>
    <row r="52" spans="2:19">
      <c r="B52" s="9">
        <v>47</v>
      </c>
      <c r="C52" s="10" t="s">
        <v>11</v>
      </c>
      <c r="D52" s="10" t="s">
        <v>199</v>
      </c>
      <c r="E52" s="82">
        <v>42201254</v>
      </c>
      <c r="F52" s="85">
        <f>IFERROR(VLOOKUP(D52,'1월'!D:F,3,0),)</f>
        <v>2</v>
      </c>
      <c r="G52" s="58">
        <v>4</v>
      </c>
      <c r="H52" s="58"/>
      <c r="I52" s="58"/>
      <c r="J52" s="58"/>
      <c r="K52" s="81"/>
      <c r="L52" s="42" t="str">
        <f>IF($F52&gt;=L$2,"-",IF(IFERROR(VLOOKUP($G52,$U:$U,1,1),0)&gt;=L$2,"o","-"))</f>
        <v>-</v>
      </c>
      <c r="M52" s="42" t="str">
        <f>IF($F52&gt;=M$2,"-",IF(IFERROR(VLOOKUP($G52,$U:$U,1,1),0)&gt;=M$2,"o","-"))</f>
        <v>o</v>
      </c>
      <c r="N52" s="42" t="str">
        <f>IF($F52&gt;=N$2,"-",IF(IFERROR(VLOOKUP($G52,$U:$U,1,1),0)&gt;=N$2,"o","-"))</f>
        <v>-</v>
      </c>
      <c r="O52" s="42" t="str">
        <f>IF($F52&gt;=O$2,"-",IF(IFERROR(VLOOKUP($G52,$U:$U,1,1),0)&gt;=O$2,"o","-"))</f>
        <v>-</v>
      </c>
      <c r="P52" s="42" t="str">
        <f>IF($F52&gt;=P$2,"-",IF(IFERROR(VLOOKUP($G52,$U:$U,1,1),0)&gt;=P$2,"o","-"))</f>
        <v>-</v>
      </c>
      <c r="Q52" s="42" t="str">
        <f>IF($F52&gt;=Q$2,"-",IF(IFERROR(VLOOKUP($G52,$U:$U,1,1),0)&gt;=Q$2,"o","-"))</f>
        <v>-</v>
      </c>
      <c r="R52" s="42" t="str">
        <f>IF($F52&gt;=R$2,"-",IF(IFERROR(VLOOKUP($G52,$U:$U,1,1),0)&gt;=R$2,"o","-"))</f>
        <v>-</v>
      </c>
      <c r="S52" s="12">
        <f>IF(L52="o",50000,0)+IF(M52="o",100000,0)+IF(N52="o",200000,0)+IF(O52="o",400000,0)+IF(P52="o",600000,0)+IF(Q52="o",1000000,0)+IF(R52="o",2000000,0)</f>
        <v>100000</v>
      </c>
    </row>
    <row r="53" spans="2:19">
      <c r="B53" s="9">
        <v>48</v>
      </c>
      <c r="C53" s="10" t="s">
        <v>38</v>
      </c>
      <c r="D53" s="10" t="s">
        <v>226</v>
      </c>
      <c r="E53" s="82">
        <v>42302720</v>
      </c>
      <c r="F53" s="85">
        <f>IFERROR(VLOOKUP(D53,'1월'!D:F,3,0),)</f>
        <v>2</v>
      </c>
      <c r="G53" s="58">
        <v>4</v>
      </c>
      <c r="H53" s="58"/>
      <c r="I53" s="58"/>
      <c r="J53" s="58"/>
      <c r="K53" s="81"/>
      <c r="L53" s="42" t="str">
        <f>IF($F53&gt;=L$2,"-",IF(IFERROR(VLOOKUP($G53,$U:$U,1,1),0)&gt;=L$2,"o","-"))</f>
        <v>-</v>
      </c>
      <c r="M53" s="42" t="str">
        <f>IF($F53&gt;=M$2,"-",IF(IFERROR(VLOOKUP($G53,$U:$U,1,1),0)&gt;=M$2,"o","-"))</f>
        <v>o</v>
      </c>
      <c r="N53" s="42" t="str">
        <f>IF($F53&gt;=N$2,"-",IF(IFERROR(VLOOKUP($G53,$U:$U,1,1),0)&gt;=N$2,"o","-"))</f>
        <v>-</v>
      </c>
      <c r="O53" s="42" t="str">
        <f>IF($F53&gt;=O$2,"-",IF(IFERROR(VLOOKUP($G53,$U:$U,1,1),0)&gt;=O$2,"o","-"))</f>
        <v>-</v>
      </c>
      <c r="P53" s="42" t="str">
        <f>IF($F53&gt;=P$2,"-",IF(IFERROR(VLOOKUP($G53,$U:$U,1,1),0)&gt;=P$2,"o","-"))</f>
        <v>-</v>
      </c>
      <c r="Q53" s="42" t="str">
        <f>IF($F53&gt;=Q$2,"-",IF(IFERROR(VLOOKUP($G53,$U:$U,1,1),0)&gt;=Q$2,"o","-"))</f>
        <v>-</v>
      </c>
      <c r="R53" s="42" t="str">
        <f>IF($F53&gt;=R$2,"-",IF(IFERROR(VLOOKUP($G53,$U:$U,1,1),0)&gt;=R$2,"o","-"))</f>
        <v>-</v>
      </c>
      <c r="S53" s="12">
        <f>IF(L53="o",50000,0)+IF(M53="o",100000,0)+IF(N53="o",200000,0)+IF(O53="o",400000,0)+IF(P53="o",600000,0)+IF(Q53="o",1000000,0)+IF(R53="o",2000000,0)</f>
        <v>100000</v>
      </c>
    </row>
    <row r="54" spans="2:19">
      <c r="B54" s="9">
        <v>49</v>
      </c>
      <c r="C54" s="10" t="s">
        <v>19</v>
      </c>
      <c r="D54" s="10" t="s">
        <v>207</v>
      </c>
      <c r="E54" s="82">
        <v>41507265</v>
      </c>
      <c r="F54" s="85">
        <f>IFERROR(VLOOKUP(D54,'1월'!D:F,3,0),)</f>
        <v>2</v>
      </c>
      <c r="G54" s="58">
        <v>4</v>
      </c>
      <c r="H54" s="58"/>
      <c r="I54" s="58"/>
      <c r="J54" s="58"/>
      <c r="K54" s="81"/>
      <c r="L54" s="42" t="str">
        <f>IF($F54&gt;=L$2,"-",IF(IFERROR(VLOOKUP($G54,$U:$U,1,1),0)&gt;=L$2,"o","-"))</f>
        <v>-</v>
      </c>
      <c r="M54" s="42" t="str">
        <f>IF($F54&gt;=M$2,"-",IF(IFERROR(VLOOKUP($G54,$U:$U,1,1),0)&gt;=M$2,"o","-"))</f>
        <v>o</v>
      </c>
      <c r="N54" s="42" t="str">
        <f>IF($F54&gt;=N$2,"-",IF(IFERROR(VLOOKUP($G54,$U:$U,1,1),0)&gt;=N$2,"o","-"))</f>
        <v>-</v>
      </c>
      <c r="O54" s="42" t="str">
        <f>IF($F54&gt;=O$2,"-",IF(IFERROR(VLOOKUP($G54,$U:$U,1,1),0)&gt;=O$2,"o","-"))</f>
        <v>-</v>
      </c>
      <c r="P54" s="42" t="str">
        <f>IF($F54&gt;=P$2,"-",IF(IFERROR(VLOOKUP($G54,$U:$U,1,1),0)&gt;=P$2,"o","-"))</f>
        <v>-</v>
      </c>
      <c r="Q54" s="42" t="str">
        <f>IF($F54&gt;=Q$2,"-",IF(IFERROR(VLOOKUP($G54,$U:$U,1,1),0)&gt;=Q$2,"o","-"))</f>
        <v>-</v>
      </c>
      <c r="R54" s="42" t="str">
        <f>IF($F54&gt;=R$2,"-",IF(IFERROR(VLOOKUP($G54,$U:$U,1,1),0)&gt;=R$2,"o","-"))</f>
        <v>-</v>
      </c>
      <c r="S54" s="12">
        <f>IF(L54="o",50000,0)+IF(M54="o",100000,0)+IF(N54="o",200000,0)+IF(O54="o",400000,0)+IF(P54="o",600000,0)+IF(Q54="o",1000000,0)+IF(R54="o",2000000,0)</f>
        <v>100000</v>
      </c>
    </row>
    <row r="55" spans="2:19">
      <c r="B55" s="9">
        <v>50</v>
      </c>
      <c r="C55" s="10" t="s">
        <v>48</v>
      </c>
      <c r="D55" s="10" t="s">
        <v>236</v>
      </c>
      <c r="E55" s="82">
        <v>32407004</v>
      </c>
      <c r="F55" s="85">
        <f>IFERROR(VLOOKUP(D55,'1월'!D:F,3,0),)</f>
        <v>2</v>
      </c>
      <c r="G55" s="58">
        <v>4</v>
      </c>
      <c r="H55" s="58"/>
      <c r="I55" s="58"/>
      <c r="J55" s="58"/>
      <c r="K55" s="81"/>
      <c r="L55" s="42" t="str">
        <f>IF($F55&gt;=L$2,"-",IF(IFERROR(VLOOKUP($G55,$U:$U,1,1),0)&gt;=L$2,"o","-"))</f>
        <v>-</v>
      </c>
      <c r="M55" s="42" t="str">
        <f>IF($F55&gt;=M$2,"-",IF(IFERROR(VLOOKUP($G55,$U:$U,1,1),0)&gt;=M$2,"o","-"))</f>
        <v>o</v>
      </c>
      <c r="N55" s="42" t="str">
        <f>IF($F55&gt;=N$2,"-",IF(IFERROR(VLOOKUP($G55,$U:$U,1,1),0)&gt;=N$2,"o","-"))</f>
        <v>-</v>
      </c>
      <c r="O55" s="42" t="str">
        <f>IF($F55&gt;=O$2,"-",IF(IFERROR(VLOOKUP($G55,$U:$U,1,1),0)&gt;=O$2,"o","-"))</f>
        <v>-</v>
      </c>
      <c r="P55" s="42" t="str">
        <f>IF($F55&gt;=P$2,"-",IF(IFERROR(VLOOKUP($G55,$U:$U,1,1),0)&gt;=P$2,"o","-"))</f>
        <v>-</v>
      </c>
      <c r="Q55" s="42" t="str">
        <f>IF($F55&gt;=Q$2,"-",IF(IFERROR(VLOOKUP($G55,$U:$U,1,1),0)&gt;=Q$2,"o","-"))</f>
        <v>-</v>
      </c>
      <c r="R55" s="42" t="str">
        <f>IF($F55&gt;=R$2,"-",IF(IFERROR(VLOOKUP($G55,$U:$U,1,1),0)&gt;=R$2,"o","-"))</f>
        <v>-</v>
      </c>
      <c r="S55" s="12">
        <f>IF(L55="o",50000,0)+IF(M55="o",100000,0)+IF(N55="o",200000,0)+IF(O55="o",400000,0)+IF(P55="o",600000,0)+IF(Q55="o",1000000,0)+IF(R55="o",2000000,0)</f>
        <v>100000</v>
      </c>
    </row>
    <row r="56" spans="2:19">
      <c r="B56" s="9">
        <v>51</v>
      </c>
      <c r="C56" s="10" t="s">
        <v>106</v>
      </c>
      <c r="D56" s="10" t="s">
        <v>295</v>
      </c>
      <c r="E56" s="82">
        <v>31501640</v>
      </c>
      <c r="F56" s="85">
        <f>IFERROR(VLOOKUP(D56,'1월'!D:F,3,0),)</f>
        <v>2</v>
      </c>
      <c r="G56" s="58">
        <v>4</v>
      </c>
      <c r="H56" s="58"/>
      <c r="I56" s="58"/>
      <c r="J56" s="58"/>
      <c r="K56" s="81"/>
      <c r="L56" s="42" t="str">
        <f>IF($F56&gt;=L$2,"-",IF(IFERROR(VLOOKUP($G56,$U:$U,1,1),0)&gt;=L$2,"o","-"))</f>
        <v>-</v>
      </c>
      <c r="M56" s="42" t="str">
        <f>IF($F56&gt;=M$2,"-",IF(IFERROR(VLOOKUP($G56,$U:$U,1,1),0)&gt;=M$2,"o","-"))</f>
        <v>o</v>
      </c>
      <c r="N56" s="42" t="str">
        <f>IF($F56&gt;=N$2,"-",IF(IFERROR(VLOOKUP($G56,$U:$U,1,1),0)&gt;=N$2,"o","-"))</f>
        <v>-</v>
      </c>
      <c r="O56" s="42" t="str">
        <f>IF($F56&gt;=O$2,"-",IF(IFERROR(VLOOKUP($G56,$U:$U,1,1),0)&gt;=O$2,"o","-"))</f>
        <v>-</v>
      </c>
      <c r="P56" s="42" t="str">
        <f>IF($F56&gt;=P$2,"-",IF(IFERROR(VLOOKUP($G56,$U:$U,1,1),0)&gt;=P$2,"o","-"))</f>
        <v>-</v>
      </c>
      <c r="Q56" s="42" t="str">
        <f>IF($F56&gt;=Q$2,"-",IF(IFERROR(VLOOKUP($G56,$U:$U,1,1),0)&gt;=Q$2,"o","-"))</f>
        <v>-</v>
      </c>
      <c r="R56" s="42" t="str">
        <f>IF($F56&gt;=R$2,"-",IF(IFERROR(VLOOKUP($G56,$U:$U,1,1),0)&gt;=R$2,"o","-"))</f>
        <v>-</v>
      </c>
      <c r="S56" s="12">
        <f>IF(L56="o",50000,0)+IF(M56="o",100000,0)+IF(N56="o",200000,0)+IF(O56="o",400000,0)+IF(P56="o",600000,0)+IF(Q56="o",1000000,0)+IF(R56="o",2000000,0)</f>
        <v>100000</v>
      </c>
    </row>
    <row r="57" spans="2:19">
      <c r="B57" s="9">
        <v>52</v>
      </c>
      <c r="C57" s="10" t="s">
        <v>56</v>
      </c>
      <c r="D57" s="10" t="s">
        <v>244</v>
      </c>
      <c r="E57" s="82">
        <v>41803473</v>
      </c>
      <c r="F57" s="85">
        <f>IFERROR(VLOOKUP(D57,'1월'!D:F,3,0),)</f>
        <v>2</v>
      </c>
      <c r="G57" s="58">
        <v>4</v>
      </c>
      <c r="H57" s="58"/>
      <c r="I57" s="58"/>
      <c r="J57" s="58"/>
      <c r="K57" s="81"/>
      <c r="L57" s="42" t="str">
        <f>IF($F57&gt;=L$2,"-",IF(IFERROR(VLOOKUP($G57,$U:$U,1,1),0)&gt;=L$2,"o","-"))</f>
        <v>-</v>
      </c>
      <c r="M57" s="42" t="str">
        <f>IF($F57&gt;=M$2,"-",IF(IFERROR(VLOOKUP($G57,$U:$U,1,1),0)&gt;=M$2,"o","-"))</f>
        <v>o</v>
      </c>
      <c r="N57" s="42" t="str">
        <f>IF($F57&gt;=N$2,"-",IF(IFERROR(VLOOKUP($G57,$U:$U,1,1),0)&gt;=N$2,"o","-"))</f>
        <v>-</v>
      </c>
      <c r="O57" s="42" t="str">
        <f>IF($F57&gt;=O$2,"-",IF(IFERROR(VLOOKUP($G57,$U:$U,1,1),0)&gt;=O$2,"o","-"))</f>
        <v>-</v>
      </c>
      <c r="P57" s="42" t="str">
        <f>IF($F57&gt;=P$2,"-",IF(IFERROR(VLOOKUP($G57,$U:$U,1,1),0)&gt;=P$2,"o","-"))</f>
        <v>-</v>
      </c>
      <c r="Q57" s="42" t="str">
        <f>IF($F57&gt;=Q$2,"-",IF(IFERROR(VLOOKUP($G57,$U:$U,1,1),0)&gt;=Q$2,"o","-"))</f>
        <v>-</v>
      </c>
      <c r="R57" s="42" t="str">
        <f>IF($F57&gt;=R$2,"-",IF(IFERROR(VLOOKUP($G57,$U:$U,1,1),0)&gt;=R$2,"o","-"))</f>
        <v>-</v>
      </c>
      <c r="S57" s="12">
        <f>IF(L57="o",50000,0)+IF(M57="o",100000,0)+IF(N57="o",200000,0)+IF(O57="o",400000,0)+IF(P57="o",600000,0)+IF(Q57="o",1000000,0)+IF(R57="o",2000000,0)</f>
        <v>100000</v>
      </c>
    </row>
    <row r="58" spans="2:19">
      <c r="B58" s="9">
        <v>53</v>
      </c>
      <c r="C58" s="10" t="s">
        <v>57</v>
      </c>
      <c r="D58" s="10" t="s">
        <v>245</v>
      </c>
      <c r="E58" s="82">
        <v>40733067</v>
      </c>
      <c r="F58" s="85">
        <f>IFERROR(VLOOKUP(D58,'1월'!D:F,3,0),)</f>
        <v>2</v>
      </c>
      <c r="G58" s="58">
        <v>4</v>
      </c>
      <c r="H58" s="58"/>
      <c r="I58" s="58"/>
      <c r="J58" s="58"/>
      <c r="K58" s="81"/>
      <c r="L58" s="42" t="str">
        <f>IF($F58&gt;=L$2,"-",IF(IFERROR(VLOOKUP($G58,$U:$U,1,1),0)&gt;=L$2,"o","-"))</f>
        <v>-</v>
      </c>
      <c r="M58" s="42" t="str">
        <f>IF($F58&gt;=M$2,"-",IF(IFERROR(VLOOKUP($G58,$U:$U,1,1),0)&gt;=M$2,"o","-"))</f>
        <v>o</v>
      </c>
      <c r="N58" s="42" t="str">
        <f>IF($F58&gt;=N$2,"-",IF(IFERROR(VLOOKUP($G58,$U:$U,1,1),0)&gt;=N$2,"o","-"))</f>
        <v>-</v>
      </c>
      <c r="O58" s="42" t="str">
        <f>IF($F58&gt;=O$2,"-",IF(IFERROR(VLOOKUP($G58,$U:$U,1,1),0)&gt;=O$2,"o","-"))</f>
        <v>-</v>
      </c>
      <c r="P58" s="42" t="str">
        <f>IF($F58&gt;=P$2,"-",IF(IFERROR(VLOOKUP($G58,$U:$U,1,1),0)&gt;=P$2,"o","-"))</f>
        <v>-</v>
      </c>
      <c r="Q58" s="42" t="str">
        <f>IF($F58&gt;=Q$2,"-",IF(IFERROR(VLOOKUP($G58,$U:$U,1,1),0)&gt;=Q$2,"o","-"))</f>
        <v>-</v>
      </c>
      <c r="R58" s="42" t="str">
        <f>IF($F58&gt;=R$2,"-",IF(IFERROR(VLOOKUP($G58,$U:$U,1,1),0)&gt;=R$2,"o","-"))</f>
        <v>-</v>
      </c>
      <c r="S58" s="12">
        <f>IF(L58="o",50000,0)+IF(M58="o",100000,0)+IF(N58="o",200000,0)+IF(O58="o",400000,0)+IF(P58="o",600000,0)+IF(Q58="o",1000000,0)+IF(R58="o",2000000,0)</f>
        <v>100000</v>
      </c>
    </row>
    <row r="59" spans="2:19">
      <c r="B59" s="9">
        <v>54</v>
      </c>
      <c r="C59" s="10" t="s">
        <v>153</v>
      </c>
      <c r="D59" s="10" t="s">
        <v>342</v>
      </c>
      <c r="E59" s="82">
        <v>32500640</v>
      </c>
      <c r="F59" s="85">
        <f>IFERROR(VLOOKUP(D59,'1월'!D:F,3,0),)</f>
        <v>2</v>
      </c>
      <c r="G59" s="58">
        <v>4</v>
      </c>
      <c r="H59" s="58"/>
      <c r="I59" s="58"/>
      <c r="J59" s="58"/>
      <c r="K59" s="81"/>
      <c r="L59" s="42" t="str">
        <f>IF($F59&gt;=L$2,"-",IF(IFERROR(VLOOKUP($G59,$U:$U,1,1),0)&gt;=L$2,"o","-"))</f>
        <v>-</v>
      </c>
      <c r="M59" s="42" t="str">
        <f>IF($F59&gt;=M$2,"-",IF(IFERROR(VLOOKUP($G59,$U:$U,1,1),0)&gt;=M$2,"o","-"))</f>
        <v>o</v>
      </c>
      <c r="N59" s="42" t="str">
        <f>IF($F59&gt;=N$2,"-",IF(IFERROR(VLOOKUP($G59,$U:$U,1,1),0)&gt;=N$2,"o","-"))</f>
        <v>-</v>
      </c>
      <c r="O59" s="42" t="str">
        <f>IF($F59&gt;=O$2,"-",IF(IFERROR(VLOOKUP($G59,$U:$U,1,1),0)&gt;=O$2,"o","-"))</f>
        <v>-</v>
      </c>
      <c r="P59" s="42" t="str">
        <f>IF($F59&gt;=P$2,"-",IF(IFERROR(VLOOKUP($G59,$U:$U,1,1),0)&gt;=P$2,"o","-"))</f>
        <v>-</v>
      </c>
      <c r="Q59" s="42" t="str">
        <f>IF($F59&gt;=Q$2,"-",IF(IFERROR(VLOOKUP($G59,$U:$U,1,1),0)&gt;=Q$2,"o","-"))</f>
        <v>-</v>
      </c>
      <c r="R59" s="42" t="str">
        <f>IF($F59&gt;=R$2,"-",IF(IFERROR(VLOOKUP($G59,$U:$U,1,1),0)&gt;=R$2,"o","-"))</f>
        <v>-</v>
      </c>
      <c r="S59" s="12">
        <f>IF(L59="o",50000,0)+IF(M59="o",100000,0)+IF(N59="o",200000,0)+IF(O59="o",400000,0)+IF(P59="o",600000,0)+IF(Q59="o",1000000,0)+IF(R59="o",2000000,0)</f>
        <v>100000</v>
      </c>
    </row>
    <row r="60" spans="2:19">
      <c r="B60" s="9">
        <v>55</v>
      </c>
      <c r="C60" s="10" t="s">
        <v>159</v>
      </c>
      <c r="D60" s="10" t="s">
        <v>348</v>
      </c>
      <c r="E60" s="82">
        <v>40734750</v>
      </c>
      <c r="F60" s="85">
        <f>IFERROR(VLOOKUP(D60,'1월'!D:F,3,0),)</f>
        <v>2</v>
      </c>
      <c r="G60" s="58">
        <v>4</v>
      </c>
      <c r="H60" s="58"/>
      <c r="I60" s="58"/>
      <c r="J60" s="58"/>
      <c r="K60" s="81"/>
      <c r="L60" s="42" t="str">
        <f>IF($F60&gt;=L$2,"-",IF(IFERROR(VLOOKUP($G60,$U:$U,1,1),0)&gt;=L$2,"o","-"))</f>
        <v>-</v>
      </c>
      <c r="M60" s="42" t="str">
        <f>IF($F60&gt;=M$2,"-",IF(IFERROR(VLOOKUP($G60,$U:$U,1,1),0)&gt;=M$2,"o","-"))</f>
        <v>o</v>
      </c>
      <c r="N60" s="42" t="str">
        <f>IF($F60&gt;=N$2,"-",IF(IFERROR(VLOOKUP($G60,$U:$U,1,1),0)&gt;=N$2,"o","-"))</f>
        <v>-</v>
      </c>
      <c r="O60" s="42" t="str">
        <f>IF($F60&gt;=O$2,"-",IF(IFERROR(VLOOKUP($G60,$U:$U,1,1),0)&gt;=O$2,"o","-"))</f>
        <v>-</v>
      </c>
      <c r="P60" s="42" t="str">
        <f>IF($F60&gt;=P$2,"-",IF(IFERROR(VLOOKUP($G60,$U:$U,1,1),0)&gt;=P$2,"o","-"))</f>
        <v>-</v>
      </c>
      <c r="Q60" s="42" t="str">
        <f>IF($F60&gt;=Q$2,"-",IF(IFERROR(VLOOKUP($G60,$U:$U,1,1),0)&gt;=Q$2,"o","-"))</f>
        <v>-</v>
      </c>
      <c r="R60" s="42" t="str">
        <f>IF($F60&gt;=R$2,"-",IF(IFERROR(VLOOKUP($G60,$U:$U,1,1),0)&gt;=R$2,"o","-"))</f>
        <v>-</v>
      </c>
      <c r="S60" s="12">
        <f>IF(L60="o",50000,0)+IF(M60="o",100000,0)+IF(N60="o",200000,0)+IF(O60="o",400000,0)+IF(P60="o",600000,0)+IF(Q60="o",1000000,0)+IF(R60="o",2000000,0)</f>
        <v>100000</v>
      </c>
    </row>
    <row r="61" spans="2:19">
      <c r="B61" s="9">
        <v>56</v>
      </c>
      <c r="C61" s="10" t="s">
        <v>62</v>
      </c>
      <c r="D61" s="10" t="s">
        <v>250</v>
      </c>
      <c r="E61" s="82">
        <v>41506978</v>
      </c>
      <c r="F61" s="85">
        <f>IFERROR(VLOOKUP(D61,'1월'!D:F,3,0),)</f>
        <v>2</v>
      </c>
      <c r="G61" s="58">
        <v>4</v>
      </c>
      <c r="H61" s="58"/>
      <c r="I61" s="58"/>
      <c r="J61" s="58"/>
      <c r="K61" s="81"/>
      <c r="L61" s="42" t="str">
        <f>IF($F61&gt;=L$2,"-",IF(IFERROR(VLOOKUP($G61,$U:$U,1,1),0)&gt;=L$2,"o","-"))</f>
        <v>-</v>
      </c>
      <c r="M61" s="42" t="str">
        <f>IF($F61&gt;=M$2,"-",IF(IFERROR(VLOOKUP($G61,$U:$U,1,1),0)&gt;=M$2,"o","-"))</f>
        <v>o</v>
      </c>
      <c r="N61" s="42" t="str">
        <f>IF($F61&gt;=N$2,"-",IF(IFERROR(VLOOKUP($G61,$U:$U,1,1),0)&gt;=N$2,"o","-"))</f>
        <v>-</v>
      </c>
      <c r="O61" s="42" t="str">
        <f>IF($F61&gt;=O$2,"-",IF(IFERROR(VLOOKUP($G61,$U:$U,1,1),0)&gt;=O$2,"o","-"))</f>
        <v>-</v>
      </c>
      <c r="P61" s="42" t="str">
        <f>IF($F61&gt;=P$2,"-",IF(IFERROR(VLOOKUP($G61,$U:$U,1,1),0)&gt;=P$2,"o","-"))</f>
        <v>-</v>
      </c>
      <c r="Q61" s="42" t="str">
        <f>IF($F61&gt;=Q$2,"-",IF(IFERROR(VLOOKUP($G61,$U:$U,1,1),0)&gt;=Q$2,"o","-"))</f>
        <v>-</v>
      </c>
      <c r="R61" s="42" t="str">
        <f>IF($F61&gt;=R$2,"-",IF(IFERROR(VLOOKUP($G61,$U:$U,1,1),0)&gt;=R$2,"o","-"))</f>
        <v>-</v>
      </c>
      <c r="S61" s="12">
        <f>IF(L61="o",50000,0)+IF(M61="o",100000,0)+IF(N61="o",200000,0)+IF(O61="o",400000,0)+IF(P61="o",600000,0)+IF(Q61="o",1000000,0)+IF(R61="o",2000000,0)</f>
        <v>100000</v>
      </c>
    </row>
    <row r="62" spans="2:19">
      <c r="B62" s="9">
        <v>57</v>
      </c>
      <c r="C62" s="10" t="s">
        <v>60</v>
      </c>
      <c r="D62" s="10" t="s">
        <v>248</v>
      </c>
      <c r="E62" s="82">
        <v>31903383</v>
      </c>
      <c r="F62" s="85">
        <f>IFERROR(VLOOKUP(D62,'1월'!D:F,3,0),)</f>
        <v>2</v>
      </c>
      <c r="G62" s="58">
        <v>4</v>
      </c>
      <c r="H62" s="58"/>
      <c r="I62" s="58"/>
      <c r="J62" s="58"/>
      <c r="K62" s="81"/>
      <c r="L62" s="42" t="str">
        <f>IF($F62&gt;=L$2,"-",IF(IFERROR(VLOOKUP($G62,$U:$U,1,1),0)&gt;=L$2,"o","-"))</f>
        <v>-</v>
      </c>
      <c r="M62" s="42" t="str">
        <f>IF($F62&gt;=M$2,"-",IF(IFERROR(VLOOKUP($G62,$U:$U,1,1),0)&gt;=M$2,"o","-"))</f>
        <v>o</v>
      </c>
      <c r="N62" s="42" t="str">
        <f>IF($F62&gt;=N$2,"-",IF(IFERROR(VLOOKUP($G62,$U:$U,1,1),0)&gt;=N$2,"o","-"))</f>
        <v>-</v>
      </c>
      <c r="O62" s="42" t="str">
        <f>IF($F62&gt;=O$2,"-",IF(IFERROR(VLOOKUP($G62,$U:$U,1,1),0)&gt;=O$2,"o","-"))</f>
        <v>-</v>
      </c>
      <c r="P62" s="42" t="str">
        <f>IF($F62&gt;=P$2,"-",IF(IFERROR(VLOOKUP($G62,$U:$U,1,1),0)&gt;=P$2,"o","-"))</f>
        <v>-</v>
      </c>
      <c r="Q62" s="42" t="str">
        <f>IF($F62&gt;=Q$2,"-",IF(IFERROR(VLOOKUP($G62,$U:$U,1,1),0)&gt;=Q$2,"o","-"))</f>
        <v>-</v>
      </c>
      <c r="R62" s="42" t="str">
        <f>IF($F62&gt;=R$2,"-",IF(IFERROR(VLOOKUP($G62,$U:$U,1,1),0)&gt;=R$2,"o","-"))</f>
        <v>-</v>
      </c>
      <c r="S62" s="12">
        <f>IF(L62="o",50000,0)+IF(M62="o",100000,0)+IF(N62="o",200000,0)+IF(O62="o",400000,0)+IF(P62="o",600000,0)+IF(Q62="o",1000000,0)+IF(R62="o",2000000,0)</f>
        <v>100000</v>
      </c>
    </row>
    <row r="63" spans="2:19">
      <c r="B63" s="9">
        <v>58</v>
      </c>
      <c r="C63" s="10" t="s">
        <v>61</v>
      </c>
      <c r="D63" s="10" t="s">
        <v>249</v>
      </c>
      <c r="E63" s="82">
        <v>41303487</v>
      </c>
      <c r="F63" s="85">
        <f>IFERROR(VLOOKUP(D63,'1월'!D:F,3,0),)</f>
        <v>2</v>
      </c>
      <c r="G63" s="58">
        <v>4</v>
      </c>
      <c r="H63" s="58"/>
      <c r="I63" s="58"/>
      <c r="J63" s="58"/>
      <c r="K63" s="81"/>
      <c r="L63" s="42" t="str">
        <f>IF($F63&gt;=L$2,"-",IF(IFERROR(VLOOKUP($G63,$U:$U,1,1),0)&gt;=L$2,"o","-"))</f>
        <v>-</v>
      </c>
      <c r="M63" s="42" t="str">
        <f>IF($F63&gt;=M$2,"-",IF(IFERROR(VLOOKUP($G63,$U:$U,1,1),0)&gt;=M$2,"o","-"))</f>
        <v>o</v>
      </c>
      <c r="N63" s="42" t="str">
        <f>IF($F63&gt;=N$2,"-",IF(IFERROR(VLOOKUP($G63,$U:$U,1,1),0)&gt;=N$2,"o","-"))</f>
        <v>-</v>
      </c>
      <c r="O63" s="42" t="str">
        <f>IF($F63&gt;=O$2,"-",IF(IFERROR(VLOOKUP($G63,$U:$U,1,1),0)&gt;=O$2,"o","-"))</f>
        <v>-</v>
      </c>
      <c r="P63" s="42" t="str">
        <f>IF($F63&gt;=P$2,"-",IF(IFERROR(VLOOKUP($G63,$U:$U,1,1),0)&gt;=P$2,"o","-"))</f>
        <v>-</v>
      </c>
      <c r="Q63" s="42" t="str">
        <f>IF($F63&gt;=Q$2,"-",IF(IFERROR(VLOOKUP($G63,$U:$U,1,1),0)&gt;=Q$2,"o","-"))</f>
        <v>-</v>
      </c>
      <c r="R63" s="42" t="str">
        <f>IF($F63&gt;=R$2,"-",IF(IFERROR(VLOOKUP($G63,$U:$U,1,1),0)&gt;=R$2,"o","-"))</f>
        <v>-</v>
      </c>
      <c r="S63" s="12">
        <f>IF(L63="o",50000,0)+IF(M63="o",100000,0)+IF(N63="o",200000,0)+IF(O63="o",400000,0)+IF(P63="o",600000,0)+IF(Q63="o",1000000,0)+IF(R63="o",2000000,0)</f>
        <v>100000</v>
      </c>
    </row>
    <row r="64" spans="2:19">
      <c r="B64" s="9">
        <v>59</v>
      </c>
      <c r="C64" s="10" t="s">
        <v>68</v>
      </c>
      <c r="D64" s="10" t="s">
        <v>256</v>
      </c>
      <c r="E64" s="82">
        <v>32200373</v>
      </c>
      <c r="F64" s="85">
        <f>IFERROR(VLOOKUP(D64,'1월'!D:F,3,0),)</f>
        <v>2</v>
      </c>
      <c r="G64" s="58">
        <v>4</v>
      </c>
      <c r="H64" s="58"/>
      <c r="I64" s="58"/>
      <c r="J64" s="58"/>
      <c r="K64" s="81"/>
      <c r="L64" s="42" t="str">
        <f>IF($F64&gt;=L$2,"-",IF(IFERROR(VLOOKUP($G64,$U:$U,1,1),0)&gt;=L$2,"o","-"))</f>
        <v>-</v>
      </c>
      <c r="M64" s="42" t="str">
        <f>IF($F64&gt;=M$2,"-",IF(IFERROR(VLOOKUP($G64,$U:$U,1,1),0)&gt;=M$2,"o","-"))</f>
        <v>o</v>
      </c>
      <c r="N64" s="42" t="str">
        <f>IF($F64&gt;=N$2,"-",IF(IFERROR(VLOOKUP($G64,$U:$U,1,1),0)&gt;=N$2,"o","-"))</f>
        <v>-</v>
      </c>
      <c r="O64" s="42" t="str">
        <f>IF($F64&gt;=O$2,"-",IF(IFERROR(VLOOKUP($G64,$U:$U,1,1),0)&gt;=O$2,"o","-"))</f>
        <v>-</v>
      </c>
      <c r="P64" s="42" t="str">
        <f>IF($F64&gt;=P$2,"-",IF(IFERROR(VLOOKUP($G64,$U:$U,1,1),0)&gt;=P$2,"o","-"))</f>
        <v>-</v>
      </c>
      <c r="Q64" s="42" t="str">
        <f>IF($F64&gt;=Q$2,"-",IF(IFERROR(VLOOKUP($G64,$U:$U,1,1),0)&gt;=Q$2,"o","-"))</f>
        <v>-</v>
      </c>
      <c r="R64" s="42" t="str">
        <f>IF($F64&gt;=R$2,"-",IF(IFERROR(VLOOKUP($G64,$U:$U,1,1),0)&gt;=R$2,"o","-"))</f>
        <v>-</v>
      </c>
      <c r="S64" s="12">
        <f>IF(L64="o",50000,0)+IF(M64="o",100000,0)+IF(N64="o",200000,0)+IF(O64="o",400000,0)+IF(P64="o",600000,0)+IF(Q64="o",1000000,0)+IF(R64="o",2000000,0)</f>
        <v>100000</v>
      </c>
    </row>
    <row r="65" spans="2:19">
      <c r="B65" s="9">
        <v>60</v>
      </c>
      <c r="C65" s="10" t="s">
        <v>121</v>
      </c>
      <c r="D65" s="10" t="s">
        <v>310</v>
      </c>
      <c r="E65" s="82">
        <v>41801286</v>
      </c>
      <c r="F65" s="85">
        <f>IFERROR(VLOOKUP(D65,'1월'!D:F,3,0),)</f>
        <v>2</v>
      </c>
      <c r="G65" s="58">
        <v>4</v>
      </c>
      <c r="H65" s="58"/>
      <c r="I65" s="58"/>
      <c r="J65" s="58"/>
      <c r="K65" s="81"/>
      <c r="L65" s="42" t="str">
        <f>IF($F65&gt;=L$2,"-",IF(IFERROR(VLOOKUP($G65,$U:$U,1,1),0)&gt;=L$2,"o","-"))</f>
        <v>-</v>
      </c>
      <c r="M65" s="42" t="str">
        <f>IF($F65&gt;=M$2,"-",IF(IFERROR(VLOOKUP($G65,$U:$U,1,1),0)&gt;=M$2,"o","-"))</f>
        <v>o</v>
      </c>
      <c r="N65" s="42" t="str">
        <f>IF($F65&gt;=N$2,"-",IF(IFERROR(VLOOKUP($G65,$U:$U,1,1),0)&gt;=N$2,"o","-"))</f>
        <v>-</v>
      </c>
      <c r="O65" s="42" t="str">
        <f>IF($F65&gt;=O$2,"-",IF(IFERROR(VLOOKUP($G65,$U:$U,1,1),0)&gt;=O$2,"o","-"))</f>
        <v>-</v>
      </c>
      <c r="P65" s="42" t="str">
        <f>IF($F65&gt;=P$2,"-",IF(IFERROR(VLOOKUP($G65,$U:$U,1,1),0)&gt;=P$2,"o","-"))</f>
        <v>-</v>
      </c>
      <c r="Q65" s="42" t="str">
        <f>IF($F65&gt;=Q$2,"-",IF(IFERROR(VLOOKUP($G65,$U:$U,1,1),0)&gt;=Q$2,"o","-"))</f>
        <v>-</v>
      </c>
      <c r="R65" s="42" t="str">
        <f>IF($F65&gt;=R$2,"-",IF(IFERROR(VLOOKUP($G65,$U:$U,1,1),0)&gt;=R$2,"o","-"))</f>
        <v>-</v>
      </c>
      <c r="S65" s="12">
        <f>IF(L65="o",50000,0)+IF(M65="o",100000,0)+IF(N65="o",200000,0)+IF(O65="o",400000,0)+IF(P65="o",600000,0)+IF(Q65="o",1000000,0)+IF(R65="o",2000000,0)</f>
        <v>100000</v>
      </c>
    </row>
    <row r="66" spans="2:19">
      <c r="B66" s="9">
        <v>61</v>
      </c>
      <c r="C66" s="10" t="s">
        <v>89</v>
      </c>
      <c r="D66" s="10" t="s">
        <v>277</v>
      </c>
      <c r="E66" s="82">
        <v>41900682</v>
      </c>
      <c r="F66" s="85">
        <f>IFERROR(VLOOKUP(D66,'1월'!D:F,3,0),)</f>
        <v>2</v>
      </c>
      <c r="G66" s="58">
        <v>4</v>
      </c>
      <c r="H66" s="58"/>
      <c r="I66" s="58"/>
      <c r="J66" s="58"/>
      <c r="K66" s="81"/>
      <c r="L66" s="42" t="str">
        <f>IF($F66&gt;=L$2,"-",IF(IFERROR(VLOOKUP($G66,$U:$U,1,1),0)&gt;=L$2,"o","-"))</f>
        <v>-</v>
      </c>
      <c r="M66" s="42" t="str">
        <f>IF($F66&gt;=M$2,"-",IF(IFERROR(VLOOKUP($G66,$U:$U,1,1),0)&gt;=M$2,"o","-"))</f>
        <v>o</v>
      </c>
      <c r="N66" s="42" t="str">
        <f>IF($F66&gt;=N$2,"-",IF(IFERROR(VLOOKUP($G66,$U:$U,1,1),0)&gt;=N$2,"o","-"))</f>
        <v>-</v>
      </c>
      <c r="O66" s="42" t="str">
        <f>IF($F66&gt;=O$2,"-",IF(IFERROR(VLOOKUP($G66,$U:$U,1,1),0)&gt;=O$2,"o","-"))</f>
        <v>-</v>
      </c>
      <c r="P66" s="42" t="str">
        <f>IF($F66&gt;=P$2,"-",IF(IFERROR(VLOOKUP($G66,$U:$U,1,1),0)&gt;=P$2,"o","-"))</f>
        <v>-</v>
      </c>
      <c r="Q66" s="42" t="str">
        <f>IF($F66&gt;=Q$2,"-",IF(IFERROR(VLOOKUP($G66,$U:$U,1,1),0)&gt;=Q$2,"o","-"))</f>
        <v>-</v>
      </c>
      <c r="R66" s="42" t="str">
        <f>IF($F66&gt;=R$2,"-",IF(IFERROR(VLOOKUP($G66,$U:$U,1,1),0)&gt;=R$2,"o","-"))</f>
        <v>-</v>
      </c>
      <c r="S66" s="12">
        <f>IF(L66="o",50000,0)+IF(M66="o",100000,0)+IF(N66="o",200000,0)+IF(O66="o",400000,0)+IF(P66="o",600000,0)+IF(Q66="o",1000000,0)+IF(R66="o",2000000,0)</f>
        <v>100000</v>
      </c>
    </row>
    <row r="67" spans="2:19">
      <c r="B67" s="9">
        <v>62</v>
      </c>
      <c r="C67" s="10" t="s">
        <v>136</v>
      </c>
      <c r="D67" s="10" t="s">
        <v>325</v>
      </c>
      <c r="E67" s="82">
        <v>41300228</v>
      </c>
      <c r="F67" s="85">
        <f>IFERROR(VLOOKUP(D67,'1월'!D:F,3,0),)</f>
        <v>2</v>
      </c>
      <c r="G67" s="58">
        <v>4</v>
      </c>
      <c r="H67" s="58"/>
      <c r="I67" s="58"/>
      <c r="J67" s="58"/>
      <c r="K67" s="81"/>
      <c r="L67" s="42" t="str">
        <f>IF($F67&gt;=L$2,"-",IF(IFERROR(VLOOKUP($G67,$U:$U,1,1),0)&gt;=L$2,"o","-"))</f>
        <v>-</v>
      </c>
      <c r="M67" s="42" t="str">
        <f>IF($F67&gt;=M$2,"-",IF(IFERROR(VLOOKUP($G67,$U:$U,1,1),0)&gt;=M$2,"o","-"))</f>
        <v>o</v>
      </c>
      <c r="N67" s="42" t="str">
        <f>IF($F67&gt;=N$2,"-",IF(IFERROR(VLOOKUP($G67,$U:$U,1,1),0)&gt;=N$2,"o","-"))</f>
        <v>-</v>
      </c>
      <c r="O67" s="42" t="str">
        <f>IF($F67&gt;=O$2,"-",IF(IFERROR(VLOOKUP($G67,$U:$U,1,1),0)&gt;=O$2,"o","-"))</f>
        <v>-</v>
      </c>
      <c r="P67" s="42" t="str">
        <f>IF($F67&gt;=P$2,"-",IF(IFERROR(VLOOKUP($G67,$U:$U,1,1),0)&gt;=P$2,"o","-"))</f>
        <v>-</v>
      </c>
      <c r="Q67" s="42" t="str">
        <f>IF($F67&gt;=Q$2,"-",IF(IFERROR(VLOOKUP($G67,$U:$U,1,1),0)&gt;=Q$2,"o","-"))</f>
        <v>-</v>
      </c>
      <c r="R67" s="42" t="str">
        <f>IF($F67&gt;=R$2,"-",IF(IFERROR(VLOOKUP($G67,$U:$U,1,1),0)&gt;=R$2,"o","-"))</f>
        <v>-</v>
      </c>
      <c r="S67" s="12">
        <f>IF(L67="o",50000,0)+IF(M67="o",100000,0)+IF(N67="o",200000,0)+IF(O67="o",400000,0)+IF(P67="o",600000,0)+IF(Q67="o",1000000,0)+IF(R67="o",2000000,0)</f>
        <v>100000</v>
      </c>
    </row>
    <row r="68" spans="2:19">
      <c r="B68" s="9">
        <v>63</v>
      </c>
      <c r="C68" s="10" t="s">
        <v>178</v>
      </c>
      <c r="D68" s="10" t="s">
        <v>368</v>
      </c>
      <c r="E68" s="82">
        <v>31600523</v>
      </c>
      <c r="F68" s="85">
        <f>IFERROR(VLOOKUP(D68,'1월'!D:F,3,0),)</f>
        <v>2</v>
      </c>
      <c r="G68" s="58">
        <v>4</v>
      </c>
      <c r="H68" s="58"/>
      <c r="I68" s="58"/>
      <c r="J68" s="58"/>
      <c r="K68" s="81"/>
      <c r="L68" s="42" t="str">
        <f>IF($F68&gt;=L$2,"-",IF(IFERROR(VLOOKUP($G68,$U:$U,1,1),0)&gt;=L$2,"o","-"))</f>
        <v>-</v>
      </c>
      <c r="M68" s="42" t="str">
        <f>IF($F68&gt;=M$2,"-",IF(IFERROR(VLOOKUP($G68,$U:$U,1,1),0)&gt;=M$2,"o","-"))</f>
        <v>o</v>
      </c>
      <c r="N68" s="42" t="str">
        <f>IF($F68&gt;=N$2,"-",IF(IFERROR(VLOOKUP($G68,$U:$U,1,1),0)&gt;=N$2,"o","-"))</f>
        <v>-</v>
      </c>
      <c r="O68" s="42" t="str">
        <f>IF($F68&gt;=O$2,"-",IF(IFERROR(VLOOKUP($G68,$U:$U,1,1),0)&gt;=O$2,"o","-"))</f>
        <v>-</v>
      </c>
      <c r="P68" s="42" t="str">
        <f>IF($F68&gt;=P$2,"-",IF(IFERROR(VLOOKUP($G68,$U:$U,1,1),0)&gt;=P$2,"o","-"))</f>
        <v>-</v>
      </c>
      <c r="Q68" s="42" t="str">
        <f>IF($F68&gt;=Q$2,"-",IF(IFERROR(VLOOKUP($G68,$U:$U,1,1),0)&gt;=Q$2,"o","-"))</f>
        <v>-</v>
      </c>
      <c r="R68" s="42" t="str">
        <f>IF($F68&gt;=R$2,"-",IF(IFERROR(VLOOKUP($G68,$U:$U,1,1),0)&gt;=R$2,"o","-"))</f>
        <v>-</v>
      </c>
      <c r="S68" s="12">
        <f>IF(L68="o",50000,0)+IF(M68="o",100000,0)+IF(N68="o",200000,0)+IF(O68="o",400000,0)+IF(P68="o",600000,0)+IF(Q68="o",1000000,0)+IF(R68="o",2000000,0)</f>
        <v>100000</v>
      </c>
    </row>
    <row r="69" spans="2:19">
      <c r="B69" s="9">
        <v>64</v>
      </c>
      <c r="C69" s="10" t="s">
        <v>145</v>
      </c>
      <c r="D69" s="10" t="s">
        <v>334</v>
      </c>
      <c r="E69" s="82">
        <v>31800594</v>
      </c>
      <c r="F69" s="85">
        <f>IFERROR(VLOOKUP(D69,'1월'!D:F,3,0),)</f>
        <v>2</v>
      </c>
      <c r="G69" s="58">
        <v>4</v>
      </c>
      <c r="H69" s="58"/>
      <c r="I69" s="58"/>
      <c r="J69" s="58"/>
      <c r="K69" s="81"/>
      <c r="L69" s="42" t="str">
        <f>IF($F69&gt;=L$2,"-",IF(IFERROR(VLOOKUP($G69,$U:$U,1,1),0)&gt;=L$2,"o","-"))</f>
        <v>-</v>
      </c>
      <c r="M69" s="42" t="str">
        <f>IF($F69&gt;=M$2,"-",IF(IFERROR(VLOOKUP($G69,$U:$U,1,1),0)&gt;=M$2,"o","-"))</f>
        <v>o</v>
      </c>
      <c r="N69" s="42" t="str">
        <f>IF($F69&gt;=N$2,"-",IF(IFERROR(VLOOKUP($G69,$U:$U,1,1),0)&gt;=N$2,"o","-"))</f>
        <v>-</v>
      </c>
      <c r="O69" s="42" t="str">
        <f>IF($F69&gt;=O$2,"-",IF(IFERROR(VLOOKUP($G69,$U:$U,1,1),0)&gt;=O$2,"o","-"))</f>
        <v>-</v>
      </c>
      <c r="P69" s="42" t="str">
        <f>IF($F69&gt;=P$2,"-",IF(IFERROR(VLOOKUP($G69,$U:$U,1,1),0)&gt;=P$2,"o","-"))</f>
        <v>-</v>
      </c>
      <c r="Q69" s="42" t="str">
        <f>IF($F69&gt;=Q$2,"-",IF(IFERROR(VLOOKUP($G69,$U:$U,1,1),0)&gt;=Q$2,"o","-"))</f>
        <v>-</v>
      </c>
      <c r="R69" s="42" t="str">
        <f>IF($F69&gt;=R$2,"-",IF(IFERROR(VLOOKUP($G69,$U:$U,1,1),0)&gt;=R$2,"o","-"))</f>
        <v>-</v>
      </c>
      <c r="S69" s="12">
        <f>IF(L69="o",50000,0)+IF(M69="o",100000,0)+IF(N69="o",200000,0)+IF(O69="o",400000,0)+IF(P69="o",600000,0)+IF(Q69="o",1000000,0)+IF(R69="o",2000000,0)</f>
        <v>100000</v>
      </c>
    </row>
    <row r="70" spans="2:19">
      <c r="B70" s="9">
        <v>65</v>
      </c>
      <c r="C70" s="10" t="s">
        <v>186</v>
      </c>
      <c r="D70" s="10" t="s">
        <v>376</v>
      </c>
      <c r="E70" s="82">
        <v>42403863</v>
      </c>
      <c r="F70" s="85">
        <f>IFERROR(VLOOKUP(D70,'1월'!D:F,3,0),)</f>
        <v>2</v>
      </c>
      <c r="G70" s="58">
        <v>4</v>
      </c>
      <c r="H70" s="58"/>
      <c r="I70" s="58"/>
      <c r="J70" s="58"/>
      <c r="K70" s="81"/>
      <c r="L70" s="42" t="str">
        <f>IF($F70&gt;=L$2,"-",IF(IFERROR(VLOOKUP($G70,$U:$U,1,1),0)&gt;=L$2,"o","-"))</f>
        <v>-</v>
      </c>
      <c r="M70" s="42" t="str">
        <f>IF($F70&gt;=M$2,"-",IF(IFERROR(VLOOKUP($G70,$U:$U,1,1),0)&gt;=M$2,"o","-"))</f>
        <v>o</v>
      </c>
      <c r="N70" s="42" t="str">
        <f>IF($F70&gt;=N$2,"-",IF(IFERROR(VLOOKUP($G70,$U:$U,1,1),0)&gt;=N$2,"o","-"))</f>
        <v>-</v>
      </c>
      <c r="O70" s="42" t="str">
        <f>IF($F70&gt;=O$2,"-",IF(IFERROR(VLOOKUP($G70,$U:$U,1,1),0)&gt;=O$2,"o","-"))</f>
        <v>-</v>
      </c>
      <c r="P70" s="42" t="str">
        <f>IF($F70&gt;=P$2,"-",IF(IFERROR(VLOOKUP($G70,$U:$U,1,1),0)&gt;=P$2,"o","-"))</f>
        <v>-</v>
      </c>
      <c r="Q70" s="42" t="str">
        <f>IF($F70&gt;=Q$2,"-",IF(IFERROR(VLOOKUP($G70,$U:$U,1,1),0)&gt;=Q$2,"o","-"))</f>
        <v>-</v>
      </c>
      <c r="R70" s="42" t="str">
        <f>IF($F70&gt;=R$2,"-",IF(IFERROR(VLOOKUP($G70,$U:$U,1,1),0)&gt;=R$2,"o","-"))</f>
        <v>-</v>
      </c>
      <c r="S70" s="12">
        <f>IF(L70="o",50000,0)+IF(M70="o",100000,0)+IF(N70="o",200000,0)+IF(O70="o",400000,0)+IF(P70="o",600000,0)+IF(Q70="o",1000000,0)+IF(R70="o",2000000,0)</f>
        <v>100000</v>
      </c>
    </row>
    <row r="71" spans="2:19">
      <c r="B71" s="9">
        <v>66</v>
      </c>
      <c r="C71" s="10" t="s">
        <v>169</v>
      </c>
      <c r="D71" s="10" t="s">
        <v>359</v>
      </c>
      <c r="E71" s="82">
        <v>32000564</v>
      </c>
      <c r="F71" s="85">
        <f>IFERROR(VLOOKUP(D71,'1월'!D:F,3,0),)</f>
        <v>2</v>
      </c>
      <c r="G71" s="58">
        <v>4</v>
      </c>
      <c r="H71" s="58"/>
      <c r="I71" s="58"/>
      <c r="J71" s="58"/>
      <c r="K71" s="81"/>
      <c r="L71" s="42" t="str">
        <f>IF($F71&gt;=L$2,"-",IF(IFERROR(VLOOKUP($G71,$U:$U,1,1),0)&gt;=L$2,"o","-"))</f>
        <v>-</v>
      </c>
      <c r="M71" s="42" t="str">
        <f>IF($F71&gt;=M$2,"-",IF(IFERROR(VLOOKUP($G71,$U:$U,1,1),0)&gt;=M$2,"o","-"))</f>
        <v>o</v>
      </c>
      <c r="N71" s="42" t="str">
        <f>IF($F71&gt;=N$2,"-",IF(IFERROR(VLOOKUP($G71,$U:$U,1,1),0)&gt;=N$2,"o","-"))</f>
        <v>-</v>
      </c>
      <c r="O71" s="42" t="str">
        <f>IF($F71&gt;=O$2,"-",IF(IFERROR(VLOOKUP($G71,$U:$U,1,1),0)&gt;=O$2,"o","-"))</f>
        <v>-</v>
      </c>
      <c r="P71" s="42" t="str">
        <f>IF($F71&gt;=P$2,"-",IF(IFERROR(VLOOKUP($G71,$U:$U,1,1),0)&gt;=P$2,"o","-"))</f>
        <v>-</v>
      </c>
      <c r="Q71" s="42" t="str">
        <f>IF($F71&gt;=Q$2,"-",IF(IFERROR(VLOOKUP($G71,$U:$U,1,1),0)&gt;=Q$2,"o","-"))</f>
        <v>-</v>
      </c>
      <c r="R71" s="42" t="str">
        <f>IF($F71&gt;=R$2,"-",IF(IFERROR(VLOOKUP($G71,$U:$U,1,1),0)&gt;=R$2,"o","-"))</f>
        <v>-</v>
      </c>
      <c r="S71" s="12">
        <f>IF(L71="o",50000,0)+IF(M71="o",100000,0)+IF(N71="o",200000,0)+IF(O71="o",400000,0)+IF(P71="o",600000,0)+IF(Q71="o",1000000,0)+IF(R71="o",2000000,0)</f>
        <v>100000</v>
      </c>
    </row>
    <row r="72" spans="2:19">
      <c r="B72" s="9">
        <v>67</v>
      </c>
      <c r="C72" s="10" t="s">
        <v>73</v>
      </c>
      <c r="D72" s="10" t="s">
        <v>261</v>
      </c>
      <c r="E72" s="82">
        <v>32001374</v>
      </c>
      <c r="F72" s="85">
        <f>IFERROR(VLOOKUP(D72,'1월'!D:F,3,0),)</f>
        <v>2</v>
      </c>
      <c r="G72" s="58">
        <v>4</v>
      </c>
      <c r="H72" s="58"/>
      <c r="I72" s="58"/>
      <c r="J72" s="58"/>
      <c r="K72" s="81"/>
      <c r="L72" s="42" t="str">
        <f>IF($F72&gt;=L$2,"-",IF(IFERROR(VLOOKUP($G72,$U:$U,1,1),0)&gt;=L$2,"o","-"))</f>
        <v>-</v>
      </c>
      <c r="M72" s="42" t="str">
        <f>IF($F72&gt;=M$2,"-",IF(IFERROR(VLOOKUP($G72,$U:$U,1,1),0)&gt;=M$2,"o","-"))</f>
        <v>o</v>
      </c>
      <c r="N72" s="42" t="str">
        <f>IF($F72&gt;=N$2,"-",IF(IFERROR(VLOOKUP($G72,$U:$U,1,1),0)&gt;=N$2,"o","-"))</f>
        <v>-</v>
      </c>
      <c r="O72" s="42" t="str">
        <f>IF($F72&gt;=O$2,"-",IF(IFERROR(VLOOKUP($G72,$U:$U,1,1),0)&gt;=O$2,"o","-"))</f>
        <v>-</v>
      </c>
      <c r="P72" s="42" t="str">
        <f>IF($F72&gt;=P$2,"-",IF(IFERROR(VLOOKUP($G72,$U:$U,1,1),0)&gt;=P$2,"o","-"))</f>
        <v>-</v>
      </c>
      <c r="Q72" s="42" t="str">
        <f>IF($F72&gt;=Q$2,"-",IF(IFERROR(VLOOKUP($G72,$U:$U,1,1),0)&gt;=Q$2,"o","-"))</f>
        <v>-</v>
      </c>
      <c r="R72" s="42" t="str">
        <f>IF($F72&gt;=R$2,"-",IF(IFERROR(VLOOKUP($G72,$U:$U,1,1),0)&gt;=R$2,"o","-"))</f>
        <v>-</v>
      </c>
      <c r="S72" s="12">
        <f>IF(L72="o",50000,0)+IF(M72="o",100000,0)+IF(N72="o",200000,0)+IF(O72="o",400000,0)+IF(P72="o",600000,0)+IF(Q72="o",1000000,0)+IF(R72="o",2000000,0)</f>
        <v>100000</v>
      </c>
    </row>
    <row r="73" spans="2:19">
      <c r="B73" s="9">
        <v>68</v>
      </c>
      <c r="C73" s="10" t="s">
        <v>80</v>
      </c>
      <c r="D73" s="10" t="s">
        <v>268</v>
      </c>
      <c r="E73" s="82">
        <v>32201895</v>
      </c>
      <c r="F73" s="85">
        <f>IFERROR(VLOOKUP(D73,'1월'!D:F,3,0),)</f>
        <v>2</v>
      </c>
      <c r="G73" s="58">
        <v>4</v>
      </c>
      <c r="H73" s="58"/>
      <c r="I73" s="58"/>
      <c r="J73" s="58"/>
      <c r="K73" s="81"/>
      <c r="L73" s="42" t="str">
        <f>IF($F73&gt;=L$2,"-",IF(IFERROR(VLOOKUP($G73,$U:$U,1,1),0)&gt;=L$2,"o","-"))</f>
        <v>-</v>
      </c>
      <c r="M73" s="42" t="str">
        <f>IF($F73&gt;=M$2,"-",IF(IFERROR(VLOOKUP($G73,$U:$U,1,1),0)&gt;=M$2,"o","-"))</f>
        <v>o</v>
      </c>
      <c r="N73" s="42" t="str">
        <f>IF($F73&gt;=N$2,"-",IF(IFERROR(VLOOKUP($G73,$U:$U,1,1),0)&gt;=N$2,"o","-"))</f>
        <v>-</v>
      </c>
      <c r="O73" s="42" t="str">
        <f>IF($F73&gt;=O$2,"-",IF(IFERROR(VLOOKUP($G73,$U:$U,1,1),0)&gt;=O$2,"o","-"))</f>
        <v>-</v>
      </c>
      <c r="P73" s="42" t="str">
        <f>IF($F73&gt;=P$2,"-",IF(IFERROR(VLOOKUP($G73,$U:$U,1,1),0)&gt;=P$2,"o","-"))</f>
        <v>-</v>
      </c>
      <c r="Q73" s="42" t="str">
        <f>IF($F73&gt;=Q$2,"-",IF(IFERROR(VLOOKUP($G73,$U:$U,1,1),0)&gt;=Q$2,"o","-"))</f>
        <v>-</v>
      </c>
      <c r="R73" s="42" t="str">
        <f>IF($F73&gt;=R$2,"-",IF(IFERROR(VLOOKUP($G73,$U:$U,1,1),0)&gt;=R$2,"o","-"))</f>
        <v>-</v>
      </c>
      <c r="S73" s="12">
        <f>IF(L73="o",50000,0)+IF(M73="o",100000,0)+IF(N73="o",200000,0)+IF(O73="o",400000,0)+IF(P73="o",600000,0)+IF(Q73="o",1000000,0)+IF(R73="o",2000000,0)</f>
        <v>100000</v>
      </c>
    </row>
    <row r="74" spans="2:19">
      <c r="B74" s="9">
        <v>69</v>
      </c>
      <c r="C74" s="10" t="s">
        <v>85</v>
      </c>
      <c r="D74" s="10" t="s">
        <v>273</v>
      </c>
      <c r="E74" s="82">
        <v>32406898</v>
      </c>
      <c r="F74" s="85">
        <f>IFERROR(VLOOKUP(D74,'1월'!D:F,3,0),)</f>
        <v>2</v>
      </c>
      <c r="G74" s="58">
        <v>4</v>
      </c>
      <c r="H74" s="58"/>
      <c r="I74" s="58"/>
      <c r="J74" s="58"/>
      <c r="K74" s="81"/>
      <c r="L74" s="42" t="str">
        <f>IF($F74&gt;=L$2,"-",IF(IFERROR(VLOOKUP($G74,$U:$U,1,1),0)&gt;=L$2,"o","-"))</f>
        <v>-</v>
      </c>
      <c r="M74" s="42" t="str">
        <f>IF($F74&gt;=M$2,"-",IF(IFERROR(VLOOKUP($G74,$U:$U,1,1),0)&gt;=M$2,"o","-"))</f>
        <v>o</v>
      </c>
      <c r="N74" s="42" t="str">
        <f>IF($F74&gt;=N$2,"-",IF(IFERROR(VLOOKUP($G74,$U:$U,1,1),0)&gt;=N$2,"o","-"))</f>
        <v>-</v>
      </c>
      <c r="O74" s="42" t="str">
        <f>IF($F74&gt;=O$2,"-",IF(IFERROR(VLOOKUP($G74,$U:$U,1,1),0)&gt;=O$2,"o","-"))</f>
        <v>-</v>
      </c>
      <c r="P74" s="42" t="str">
        <f>IF($F74&gt;=P$2,"-",IF(IFERROR(VLOOKUP($G74,$U:$U,1,1),0)&gt;=P$2,"o","-"))</f>
        <v>-</v>
      </c>
      <c r="Q74" s="42" t="str">
        <f>IF($F74&gt;=Q$2,"-",IF(IFERROR(VLOOKUP($G74,$U:$U,1,1),0)&gt;=Q$2,"o","-"))</f>
        <v>-</v>
      </c>
      <c r="R74" s="42" t="str">
        <f>IF($F74&gt;=R$2,"-",IF(IFERROR(VLOOKUP($G74,$U:$U,1,1),0)&gt;=R$2,"o","-"))</f>
        <v>-</v>
      </c>
      <c r="S74" s="12">
        <f>IF(L74="o",50000,0)+IF(M74="o",100000,0)+IF(N74="o",200000,0)+IF(O74="o",400000,0)+IF(P74="o",600000,0)+IF(Q74="o",1000000,0)+IF(R74="o",2000000,0)</f>
        <v>100000</v>
      </c>
    </row>
    <row r="75" spans="2:19">
      <c r="B75" s="9">
        <v>70</v>
      </c>
      <c r="C75" s="10" t="s">
        <v>142</v>
      </c>
      <c r="D75" s="10" t="s">
        <v>331</v>
      </c>
      <c r="E75" s="82">
        <v>32303261</v>
      </c>
      <c r="F75" s="85">
        <f>IFERROR(VLOOKUP(D75,'1월'!D:F,3,0),)</f>
        <v>2</v>
      </c>
      <c r="G75" s="58">
        <v>4</v>
      </c>
      <c r="H75" s="58"/>
      <c r="I75" s="58"/>
      <c r="J75" s="58"/>
      <c r="K75" s="81"/>
      <c r="L75" s="42" t="str">
        <f>IF($F75&gt;=L$2,"-",IF(IFERROR(VLOOKUP($G75,$U:$U,1,1),0)&gt;=L$2,"o","-"))</f>
        <v>-</v>
      </c>
      <c r="M75" s="42" t="str">
        <f>IF($F75&gt;=M$2,"-",IF(IFERROR(VLOOKUP($G75,$U:$U,1,1),0)&gt;=M$2,"o","-"))</f>
        <v>o</v>
      </c>
      <c r="N75" s="42" t="str">
        <f>IF($F75&gt;=N$2,"-",IF(IFERROR(VLOOKUP($G75,$U:$U,1,1),0)&gt;=N$2,"o","-"))</f>
        <v>-</v>
      </c>
      <c r="O75" s="42" t="str">
        <f>IF($F75&gt;=O$2,"-",IF(IFERROR(VLOOKUP($G75,$U:$U,1,1),0)&gt;=O$2,"o","-"))</f>
        <v>-</v>
      </c>
      <c r="P75" s="42" t="str">
        <f>IF($F75&gt;=P$2,"-",IF(IFERROR(VLOOKUP($G75,$U:$U,1,1),0)&gt;=P$2,"o","-"))</f>
        <v>-</v>
      </c>
      <c r="Q75" s="42" t="str">
        <f>IF($F75&gt;=Q$2,"-",IF(IFERROR(VLOOKUP($G75,$U:$U,1,1),0)&gt;=Q$2,"o","-"))</f>
        <v>-</v>
      </c>
      <c r="R75" s="42" t="str">
        <f>IF($F75&gt;=R$2,"-",IF(IFERROR(VLOOKUP($G75,$U:$U,1,1),0)&gt;=R$2,"o","-"))</f>
        <v>-</v>
      </c>
      <c r="S75" s="12">
        <f>IF(L75="o",50000,0)+IF(M75="o",100000,0)+IF(N75="o",200000,0)+IF(O75="o",400000,0)+IF(P75="o",600000,0)+IF(Q75="o",1000000,0)+IF(R75="o",2000000,0)</f>
        <v>100000</v>
      </c>
    </row>
    <row r="76" spans="2:19">
      <c r="B76" s="9">
        <v>71</v>
      </c>
      <c r="C76" s="10" t="s">
        <v>36</v>
      </c>
      <c r="D76" s="10" t="s">
        <v>224</v>
      </c>
      <c r="E76" s="82">
        <v>31900926</v>
      </c>
      <c r="F76" s="85">
        <f>IFERROR(VLOOKUP(D76,'1월'!D:F,3,0),)</f>
        <v>2</v>
      </c>
      <c r="G76" s="58">
        <v>4</v>
      </c>
      <c r="H76" s="58"/>
      <c r="I76" s="58"/>
      <c r="J76" s="58"/>
      <c r="K76" s="81"/>
      <c r="L76" s="42" t="str">
        <f>IF($F76&gt;=L$2,"-",IF(IFERROR(VLOOKUP($G76,$U:$U,1,1),0)&gt;=L$2,"o","-"))</f>
        <v>-</v>
      </c>
      <c r="M76" s="42" t="str">
        <f>IF($F76&gt;=M$2,"-",IF(IFERROR(VLOOKUP($G76,$U:$U,1,1),0)&gt;=M$2,"o","-"))</f>
        <v>o</v>
      </c>
      <c r="N76" s="42" t="str">
        <f>IF($F76&gt;=N$2,"-",IF(IFERROR(VLOOKUP($G76,$U:$U,1,1),0)&gt;=N$2,"o","-"))</f>
        <v>-</v>
      </c>
      <c r="O76" s="42" t="str">
        <f>IF($F76&gt;=O$2,"-",IF(IFERROR(VLOOKUP($G76,$U:$U,1,1),0)&gt;=O$2,"o","-"))</f>
        <v>-</v>
      </c>
      <c r="P76" s="42" t="str">
        <f>IF($F76&gt;=P$2,"-",IF(IFERROR(VLOOKUP($G76,$U:$U,1,1),0)&gt;=P$2,"o","-"))</f>
        <v>-</v>
      </c>
      <c r="Q76" s="42" t="str">
        <f>IF($F76&gt;=Q$2,"-",IF(IFERROR(VLOOKUP($G76,$U:$U,1,1),0)&gt;=Q$2,"o","-"))</f>
        <v>-</v>
      </c>
      <c r="R76" s="42" t="str">
        <f>IF($F76&gt;=R$2,"-",IF(IFERROR(VLOOKUP($G76,$U:$U,1,1),0)&gt;=R$2,"o","-"))</f>
        <v>-</v>
      </c>
      <c r="S76" s="12">
        <f>IF(L76="o",50000,0)+IF(M76="o",100000,0)+IF(N76="o",200000,0)+IF(O76="o",400000,0)+IF(P76="o",600000,0)+IF(Q76="o",1000000,0)+IF(R76="o",2000000,0)</f>
        <v>100000</v>
      </c>
    </row>
    <row r="77" spans="2:19">
      <c r="B77" s="9">
        <v>72</v>
      </c>
      <c r="C77" s="10" t="s">
        <v>42</v>
      </c>
      <c r="D77" s="10" t="s">
        <v>230</v>
      </c>
      <c r="E77" s="82">
        <v>32202209</v>
      </c>
      <c r="F77" s="85">
        <f>IFERROR(VLOOKUP(D77,'1월'!D:F,3,0),)</f>
        <v>2</v>
      </c>
      <c r="G77" s="58">
        <v>4</v>
      </c>
      <c r="H77" s="58"/>
      <c r="I77" s="58"/>
      <c r="J77" s="58"/>
      <c r="K77" s="81"/>
      <c r="L77" s="42" t="str">
        <f>IF($F77&gt;=L$2,"-",IF(IFERROR(VLOOKUP($G77,$U:$U,1,1),0)&gt;=L$2,"o","-"))</f>
        <v>-</v>
      </c>
      <c r="M77" s="42" t="str">
        <f>IF($F77&gt;=M$2,"-",IF(IFERROR(VLOOKUP($G77,$U:$U,1,1),0)&gt;=M$2,"o","-"))</f>
        <v>o</v>
      </c>
      <c r="N77" s="42" t="str">
        <f>IF($F77&gt;=N$2,"-",IF(IFERROR(VLOOKUP($G77,$U:$U,1,1),0)&gt;=N$2,"o","-"))</f>
        <v>-</v>
      </c>
      <c r="O77" s="42" t="str">
        <f>IF($F77&gt;=O$2,"-",IF(IFERROR(VLOOKUP($G77,$U:$U,1,1),0)&gt;=O$2,"o","-"))</f>
        <v>-</v>
      </c>
      <c r="P77" s="42" t="str">
        <f>IF($F77&gt;=P$2,"-",IF(IFERROR(VLOOKUP($G77,$U:$U,1,1),0)&gt;=P$2,"o","-"))</f>
        <v>-</v>
      </c>
      <c r="Q77" s="42" t="str">
        <f>IF($F77&gt;=Q$2,"-",IF(IFERROR(VLOOKUP($G77,$U:$U,1,1),0)&gt;=Q$2,"o","-"))</f>
        <v>-</v>
      </c>
      <c r="R77" s="42" t="str">
        <f>IF($F77&gt;=R$2,"-",IF(IFERROR(VLOOKUP($G77,$U:$U,1,1),0)&gt;=R$2,"o","-"))</f>
        <v>-</v>
      </c>
      <c r="S77" s="12">
        <f>IF(L77="o",50000,0)+IF(M77="o",100000,0)+IF(N77="o",200000,0)+IF(O77="o",400000,0)+IF(P77="o",600000,0)+IF(Q77="o",1000000,0)+IF(R77="o",2000000,0)</f>
        <v>100000</v>
      </c>
    </row>
    <row r="78" spans="2:19">
      <c r="B78" s="9">
        <v>73</v>
      </c>
      <c r="C78" s="10" t="s">
        <v>46</v>
      </c>
      <c r="D78" s="10" t="s">
        <v>234</v>
      </c>
      <c r="E78" s="82">
        <v>40713780</v>
      </c>
      <c r="F78" s="85">
        <f>IFERROR(VLOOKUP(D78,'1월'!D:F,3,0),)</f>
        <v>2</v>
      </c>
      <c r="G78" s="58">
        <v>4</v>
      </c>
      <c r="H78" s="58"/>
      <c r="I78" s="58"/>
      <c r="J78" s="58"/>
      <c r="K78" s="81"/>
      <c r="L78" s="42" t="str">
        <f>IF($F78&gt;=L$2,"-",IF(IFERROR(VLOOKUP($G78,$U:$U,1,1),0)&gt;=L$2,"o","-"))</f>
        <v>-</v>
      </c>
      <c r="M78" s="42" t="str">
        <f>IF($F78&gt;=M$2,"-",IF(IFERROR(VLOOKUP($G78,$U:$U,1,1),0)&gt;=M$2,"o","-"))</f>
        <v>o</v>
      </c>
      <c r="N78" s="42" t="str">
        <f>IF($F78&gt;=N$2,"-",IF(IFERROR(VLOOKUP($G78,$U:$U,1,1),0)&gt;=N$2,"o","-"))</f>
        <v>-</v>
      </c>
      <c r="O78" s="42" t="str">
        <f>IF($F78&gt;=O$2,"-",IF(IFERROR(VLOOKUP($G78,$U:$U,1,1),0)&gt;=O$2,"o","-"))</f>
        <v>-</v>
      </c>
      <c r="P78" s="42" t="str">
        <f>IF($F78&gt;=P$2,"-",IF(IFERROR(VLOOKUP($G78,$U:$U,1,1),0)&gt;=P$2,"o","-"))</f>
        <v>-</v>
      </c>
      <c r="Q78" s="42" t="str">
        <f>IF($F78&gt;=Q$2,"-",IF(IFERROR(VLOOKUP($G78,$U:$U,1,1),0)&gt;=Q$2,"o","-"))</f>
        <v>-</v>
      </c>
      <c r="R78" s="42" t="str">
        <f>IF($F78&gt;=R$2,"-",IF(IFERROR(VLOOKUP($G78,$U:$U,1,1),0)&gt;=R$2,"o","-"))</f>
        <v>-</v>
      </c>
      <c r="S78" s="12">
        <f>IF(L78="o",50000,0)+IF(M78="o",100000,0)+IF(N78="o",200000,0)+IF(O78="o",400000,0)+IF(P78="o",600000,0)+IF(Q78="o",1000000,0)+IF(R78="o",2000000,0)</f>
        <v>100000</v>
      </c>
    </row>
    <row r="79" spans="2:19">
      <c r="B79" s="9">
        <v>74</v>
      </c>
      <c r="C79" s="10" t="s">
        <v>32</v>
      </c>
      <c r="D79" s="10" t="s">
        <v>220</v>
      </c>
      <c r="E79" s="82">
        <v>31902717</v>
      </c>
      <c r="F79" s="85">
        <f>IFERROR(VLOOKUP(D79,'1월'!D:F,3,0),)</f>
        <v>2</v>
      </c>
      <c r="G79" s="58">
        <v>4</v>
      </c>
      <c r="H79" s="58"/>
      <c r="I79" s="58"/>
      <c r="J79" s="58"/>
      <c r="K79" s="81"/>
      <c r="L79" s="42" t="str">
        <f>IF($F79&gt;=L$2,"-",IF(IFERROR(VLOOKUP($G79,$U:$U,1,1),0)&gt;=L$2,"o","-"))</f>
        <v>-</v>
      </c>
      <c r="M79" s="42" t="str">
        <f>IF($F79&gt;=M$2,"-",IF(IFERROR(VLOOKUP($G79,$U:$U,1,1),0)&gt;=M$2,"o","-"))</f>
        <v>o</v>
      </c>
      <c r="N79" s="42" t="str">
        <f>IF($F79&gt;=N$2,"-",IF(IFERROR(VLOOKUP($G79,$U:$U,1,1),0)&gt;=N$2,"o","-"))</f>
        <v>-</v>
      </c>
      <c r="O79" s="42" t="str">
        <f>IF($F79&gt;=O$2,"-",IF(IFERROR(VLOOKUP($G79,$U:$U,1,1),0)&gt;=O$2,"o","-"))</f>
        <v>-</v>
      </c>
      <c r="P79" s="42" t="str">
        <f>IF($F79&gt;=P$2,"-",IF(IFERROR(VLOOKUP($G79,$U:$U,1,1),0)&gt;=P$2,"o","-"))</f>
        <v>-</v>
      </c>
      <c r="Q79" s="42" t="str">
        <f>IF($F79&gt;=Q$2,"-",IF(IFERROR(VLOOKUP($G79,$U:$U,1,1),0)&gt;=Q$2,"o","-"))</f>
        <v>-</v>
      </c>
      <c r="R79" s="42" t="str">
        <f>IF($F79&gt;=R$2,"-",IF(IFERROR(VLOOKUP($G79,$U:$U,1,1),0)&gt;=R$2,"o","-"))</f>
        <v>-</v>
      </c>
      <c r="S79" s="12">
        <f>IF(L79="o",50000,0)+IF(M79="o",100000,0)+IF(N79="o",200000,0)+IF(O79="o",400000,0)+IF(P79="o",600000,0)+IF(Q79="o",1000000,0)+IF(R79="o",2000000,0)</f>
        <v>100000</v>
      </c>
    </row>
    <row r="80" spans="2:19">
      <c r="B80" s="9">
        <v>75</v>
      </c>
      <c r="C80" s="10" t="s">
        <v>52</v>
      </c>
      <c r="D80" s="10" t="s">
        <v>240</v>
      </c>
      <c r="E80" s="82">
        <v>40716183</v>
      </c>
      <c r="F80" s="85">
        <f>IFERROR(VLOOKUP(D80,'1월'!D:F,3,0),)</f>
        <v>2</v>
      </c>
      <c r="G80" s="58">
        <v>4</v>
      </c>
      <c r="H80" s="58"/>
      <c r="I80" s="58"/>
      <c r="J80" s="58"/>
      <c r="K80" s="81"/>
      <c r="L80" s="42" t="str">
        <f>IF($F80&gt;=L$2,"-",IF(IFERROR(VLOOKUP($G80,$U:$U,1,1),0)&gt;=L$2,"o","-"))</f>
        <v>-</v>
      </c>
      <c r="M80" s="42" t="str">
        <f>IF($F80&gt;=M$2,"-",IF(IFERROR(VLOOKUP($G80,$U:$U,1,1),0)&gt;=M$2,"o","-"))</f>
        <v>o</v>
      </c>
      <c r="N80" s="42" t="str">
        <f>IF($F80&gt;=N$2,"-",IF(IFERROR(VLOOKUP($G80,$U:$U,1,1),0)&gt;=N$2,"o","-"))</f>
        <v>-</v>
      </c>
      <c r="O80" s="42" t="str">
        <f>IF($F80&gt;=O$2,"-",IF(IFERROR(VLOOKUP($G80,$U:$U,1,1),0)&gt;=O$2,"o","-"))</f>
        <v>-</v>
      </c>
      <c r="P80" s="42" t="str">
        <f>IF($F80&gt;=P$2,"-",IF(IFERROR(VLOOKUP($G80,$U:$U,1,1),0)&gt;=P$2,"o","-"))</f>
        <v>-</v>
      </c>
      <c r="Q80" s="42" t="str">
        <f>IF($F80&gt;=Q$2,"-",IF(IFERROR(VLOOKUP($G80,$U:$U,1,1),0)&gt;=Q$2,"o","-"))</f>
        <v>-</v>
      </c>
      <c r="R80" s="42" t="str">
        <f>IF($F80&gt;=R$2,"-",IF(IFERROR(VLOOKUP($G80,$U:$U,1,1),0)&gt;=R$2,"o","-"))</f>
        <v>-</v>
      </c>
      <c r="S80" s="12">
        <f>IF(L80="o",50000,0)+IF(M80="o",100000,0)+IF(N80="o",200000,0)+IF(O80="o",400000,0)+IF(P80="o",600000,0)+IF(Q80="o",1000000,0)+IF(R80="o",2000000,0)</f>
        <v>100000</v>
      </c>
    </row>
    <row r="81" spans="2:19">
      <c r="B81" s="9">
        <v>76</v>
      </c>
      <c r="C81" s="10" t="s">
        <v>34</v>
      </c>
      <c r="D81" s="10" t="s">
        <v>222</v>
      </c>
      <c r="E81" s="82">
        <v>40734714</v>
      </c>
      <c r="F81" s="85">
        <f>IFERROR(VLOOKUP(D81,'1월'!D:F,3,0),)</f>
        <v>2</v>
      </c>
      <c r="G81" s="58">
        <v>4</v>
      </c>
      <c r="H81" s="58"/>
      <c r="I81" s="58"/>
      <c r="J81" s="58"/>
      <c r="K81" s="81"/>
      <c r="L81" s="42" t="str">
        <f>IF($F81&gt;=L$2,"-",IF(IFERROR(VLOOKUP($G81,$U:$U,1,1),0)&gt;=L$2,"o","-"))</f>
        <v>-</v>
      </c>
      <c r="M81" s="42" t="str">
        <f>IF($F81&gt;=M$2,"-",IF(IFERROR(VLOOKUP($G81,$U:$U,1,1),0)&gt;=M$2,"o","-"))</f>
        <v>o</v>
      </c>
      <c r="N81" s="42" t="str">
        <f>IF($F81&gt;=N$2,"-",IF(IFERROR(VLOOKUP($G81,$U:$U,1,1),0)&gt;=N$2,"o","-"))</f>
        <v>-</v>
      </c>
      <c r="O81" s="42" t="str">
        <f>IF($F81&gt;=O$2,"-",IF(IFERROR(VLOOKUP($G81,$U:$U,1,1),0)&gt;=O$2,"o","-"))</f>
        <v>-</v>
      </c>
      <c r="P81" s="42" t="str">
        <f>IF($F81&gt;=P$2,"-",IF(IFERROR(VLOOKUP($G81,$U:$U,1,1),0)&gt;=P$2,"o","-"))</f>
        <v>-</v>
      </c>
      <c r="Q81" s="42" t="str">
        <f>IF($F81&gt;=Q$2,"-",IF(IFERROR(VLOOKUP($G81,$U:$U,1,1),0)&gt;=Q$2,"o","-"))</f>
        <v>-</v>
      </c>
      <c r="R81" s="42" t="str">
        <f>IF($F81&gt;=R$2,"-",IF(IFERROR(VLOOKUP($G81,$U:$U,1,1),0)&gt;=R$2,"o","-"))</f>
        <v>-</v>
      </c>
      <c r="S81" s="12">
        <f>IF(L81="o",50000,0)+IF(M81="o",100000,0)+IF(N81="o",200000,0)+IF(O81="o",400000,0)+IF(P81="o",600000,0)+IF(Q81="o",1000000,0)+IF(R81="o",2000000,0)</f>
        <v>100000</v>
      </c>
    </row>
    <row r="82" spans="2:19">
      <c r="B82" s="9">
        <v>77</v>
      </c>
      <c r="C82" s="10" t="s">
        <v>26</v>
      </c>
      <c r="D82" s="10" t="s">
        <v>214</v>
      </c>
      <c r="E82" s="82">
        <v>41300129</v>
      </c>
      <c r="F82" s="85">
        <f>IFERROR(VLOOKUP(D82,'1월'!D:F,3,0),)</f>
        <v>2</v>
      </c>
      <c r="G82" s="58">
        <v>4</v>
      </c>
      <c r="H82" s="58"/>
      <c r="I82" s="58"/>
      <c r="J82" s="58"/>
      <c r="K82" s="81"/>
      <c r="L82" s="42" t="str">
        <f>IF($F82&gt;=L$2,"-",IF(IFERROR(VLOOKUP($G82,$U:$U,1,1),0)&gt;=L$2,"o","-"))</f>
        <v>-</v>
      </c>
      <c r="M82" s="42" t="str">
        <f>IF($F82&gt;=M$2,"-",IF(IFERROR(VLOOKUP($G82,$U:$U,1,1),0)&gt;=M$2,"o","-"))</f>
        <v>o</v>
      </c>
      <c r="N82" s="42" t="str">
        <f>IF($F82&gt;=N$2,"-",IF(IFERROR(VLOOKUP($G82,$U:$U,1,1),0)&gt;=N$2,"o","-"))</f>
        <v>-</v>
      </c>
      <c r="O82" s="42" t="str">
        <f>IF($F82&gt;=O$2,"-",IF(IFERROR(VLOOKUP($G82,$U:$U,1,1),0)&gt;=O$2,"o","-"))</f>
        <v>-</v>
      </c>
      <c r="P82" s="42" t="str">
        <f>IF($F82&gt;=P$2,"-",IF(IFERROR(VLOOKUP($G82,$U:$U,1,1),0)&gt;=P$2,"o","-"))</f>
        <v>-</v>
      </c>
      <c r="Q82" s="42" t="str">
        <f>IF($F82&gt;=Q$2,"-",IF(IFERROR(VLOOKUP($G82,$U:$U,1,1),0)&gt;=Q$2,"o","-"))</f>
        <v>-</v>
      </c>
      <c r="R82" s="42" t="str">
        <f>IF($F82&gt;=R$2,"-",IF(IFERROR(VLOOKUP($G82,$U:$U,1,1),0)&gt;=R$2,"o","-"))</f>
        <v>-</v>
      </c>
      <c r="S82" s="12">
        <f>IF(L82="o",50000,0)+IF(M82="o",100000,0)+IF(N82="o",200000,0)+IF(O82="o",400000,0)+IF(P82="o",600000,0)+IF(Q82="o",1000000,0)+IF(R82="o",2000000,0)</f>
        <v>100000</v>
      </c>
    </row>
    <row r="83" spans="2:19">
      <c r="B83" s="9">
        <v>78</v>
      </c>
      <c r="C83" s="10" t="s">
        <v>37</v>
      </c>
      <c r="D83" s="10" t="s">
        <v>225</v>
      </c>
      <c r="E83" s="82">
        <v>32201769</v>
      </c>
      <c r="F83" s="85">
        <f>IFERROR(VLOOKUP(D83,'1월'!D:F,3,0),)</f>
        <v>2</v>
      </c>
      <c r="G83" s="58">
        <v>4</v>
      </c>
      <c r="H83" s="58"/>
      <c r="I83" s="58"/>
      <c r="J83" s="58"/>
      <c r="K83" s="81"/>
      <c r="L83" s="42" t="str">
        <f>IF($F83&gt;=L$2,"-",IF(IFERROR(VLOOKUP($G83,$U:$U,1,1),0)&gt;=L$2,"o","-"))</f>
        <v>-</v>
      </c>
      <c r="M83" s="42" t="str">
        <f>IF($F83&gt;=M$2,"-",IF(IFERROR(VLOOKUP($G83,$U:$U,1,1),0)&gt;=M$2,"o","-"))</f>
        <v>o</v>
      </c>
      <c r="N83" s="42" t="str">
        <f>IF($F83&gt;=N$2,"-",IF(IFERROR(VLOOKUP($G83,$U:$U,1,1),0)&gt;=N$2,"o","-"))</f>
        <v>-</v>
      </c>
      <c r="O83" s="42" t="str">
        <f>IF($F83&gt;=O$2,"-",IF(IFERROR(VLOOKUP($G83,$U:$U,1,1),0)&gt;=O$2,"o","-"))</f>
        <v>-</v>
      </c>
      <c r="P83" s="42" t="str">
        <f>IF($F83&gt;=P$2,"-",IF(IFERROR(VLOOKUP($G83,$U:$U,1,1),0)&gt;=P$2,"o","-"))</f>
        <v>-</v>
      </c>
      <c r="Q83" s="42" t="str">
        <f>IF($F83&gt;=Q$2,"-",IF(IFERROR(VLOOKUP($G83,$U:$U,1,1),0)&gt;=Q$2,"o","-"))</f>
        <v>-</v>
      </c>
      <c r="R83" s="42" t="str">
        <f>IF($F83&gt;=R$2,"-",IF(IFERROR(VLOOKUP($G83,$U:$U,1,1),0)&gt;=R$2,"o","-"))</f>
        <v>-</v>
      </c>
      <c r="S83" s="12">
        <f>IF(L83="o",50000,0)+IF(M83="o",100000,0)+IF(N83="o",200000,0)+IF(O83="o",400000,0)+IF(P83="o",600000,0)+IF(Q83="o",1000000,0)+IF(R83="o",2000000,0)</f>
        <v>100000</v>
      </c>
    </row>
    <row r="84" spans="2:19">
      <c r="B84" s="9">
        <v>79</v>
      </c>
      <c r="C84" s="10" t="s">
        <v>12</v>
      </c>
      <c r="D84" s="10" t="s">
        <v>200</v>
      </c>
      <c r="E84" s="82">
        <v>31600514</v>
      </c>
      <c r="F84" s="85">
        <f>IFERROR(VLOOKUP(D84,'1월'!D:F,3,0),)</f>
        <v>2</v>
      </c>
      <c r="G84" s="58">
        <v>4</v>
      </c>
      <c r="H84" s="58"/>
      <c r="I84" s="58"/>
      <c r="J84" s="58"/>
      <c r="K84" s="81"/>
      <c r="L84" s="42" t="str">
        <f>IF($F84&gt;=L$2,"-",IF(IFERROR(VLOOKUP($G84,$U:$U,1,1),0)&gt;=L$2,"o","-"))</f>
        <v>-</v>
      </c>
      <c r="M84" s="42" t="str">
        <f>IF($F84&gt;=M$2,"-",IF(IFERROR(VLOOKUP($G84,$U:$U,1,1),0)&gt;=M$2,"o","-"))</f>
        <v>o</v>
      </c>
      <c r="N84" s="42" t="str">
        <f>IF($F84&gt;=N$2,"-",IF(IFERROR(VLOOKUP($G84,$U:$U,1,1),0)&gt;=N$2,"o","-"))</f>
        <v>-</v>
      </c>
      <c r="O84" s="42" t="str">
        <f>IF($F84&gt;=O$2,"-",IF(IFERROR(VLOOKUP($G84,$U:$U,1,1),0)&gt;=O$2,"o","-"))</f>
        <v>-</v>
      </c>
      <c r="P84" s="42" t="str">
        <f>IF($F84&gt;=P$2,"-",IF(IFERROR(VLOOKUP($G84,$U:$U,1,1),0)&gt;=P$2,"o","-"))</f>
        <v>-</v>
      </c>
      <c r="Q84" s="42" t="str">
        <f>IF($F84&gt;=Q$2,"-",IF(IFERROR(VLOOKUP($G84,$U:$U,1,1),0)&gt;=Q$2,"o","-"))</f>
        <v>-</v>
      </c>
      <c r="R84" s="42" t="str">
        <f>IF($F84&gt;=R$2,"-",IF(IFERROR(VLOOKUP($G84,$U:$U,1,1),0)&gt;=R$2,"o","-"))</f>
        <v>-</v>
      </c>
      <c r="S84" s="12">
        <f>IF(L84="o",50000,0)+IF(M84="o",100000,0)+IF(N84="o",200000,0)+IF(O84="o",400000,0)+IF(P84="o",600000,0)+IF(Q84="o",1000000,0)+IF(R84="o",2000000,0)</f>
        <v>100000</v>
      </c>
    </row>
    <row r="85" spans="2:19">
      <c r="B85" s="9">
        <v>80</v>
      </c>
      <c r="C85" s="10" t="s">
        <v>41</v>
      </c>
      <c r="D85" s="10" t="s">
        <v>229</v>
      </c>
      <c r="E85" s="82">
        <v>42403926</v>
      </c>
      <c r="F85" s="85">
        <f>IFERROR(VLOOKUP(D85,'1월'!D:F,3,0),)</f>
        <v>2</v>
      </c>
      <c r="G85" s="58">
        <v>4</v>
      </c>
      <c r="H85" s="58"/>
      <c r="I85" s="58"/>
      <c r="J85" s="58"/>
      <c r="K85" s="81"/>
      <c r="L85" s="42" t="str">
        <f>IF($F85&gt;=L$2,"-",IF(IFERROR(VLOOKUP($G85,$U:$U,1,1),0)&gt;=L$2,"o","-"))</f>
        <v>-</v>
      </c>
      <c r="M85" s="42" t="str">
        <f>IF($F85&gt;=M$2,"-",IF(IFERROR(VLOOKUP($G85,$U:$U,1,1),0)&gt;=M$2,"o","-"))</f>
        <v>o</v>
      </c>
      <c r="N85" s="42" t="str">
        <f>IF($F85&gt;=N$2,"-",IF(IFERROR(VLOOKUP($G85,$U:$U,1,1),0)&gt;=N$2,"o","-"))</f>
        <v>-</v>
      </c>
      <c r="O85" s="42" t="str">
        <f>IF($F85&gt;=O$2,"-",IF(IFERROR(VLOOKUP($G85,$U:$U,1,1),0)&gt;=O$2,"o","-"))</f>
        <v>-</v>
      </c>
      <c r="P85" s="42" t="str">
        <f>IF($F85&gt;=P$2,"-",IF(IFERROR(VLOOKUP($G85,$U:$U,1,1),0)&gt;=P$2,"o","-"))</f>
        <v>-</v>
      </c>
      <c r="Q85" s="42" t="str">
        <f>IF($F85&gt;=Q$2,"-",IF(IFERROR(VLOOKUP($G85,$U:$U,1,1),0)&gt;=Q$2,"o","-"))</f>
        <v>-</v>
      </c>
      <c r="R85" s="42" t="str">
        <f>IF($F85&gt;=R$2,"-",IF(IFERROR(VLOOKUP($G85,$U:$U,1,1),0)&gt;=R$2,"o","-"))</f>
        <v>-</v>
      </c>
      <c r="S85" s="12">
        <f>IF(L85="o",50000,0)+IF(M85="o",100000,0)+IF(N85="o",200000,0)+IF(O85="o",400000,0)+IF(P85="o",600000,0)+IF(Q85="o",1000000,0)+IF(R85="o",2000000,0)</f>
        <v>100000</v>
      </c>
    </row>
    <row r="86" spans="2:19">
      <c r="B86" s="9">
        <v>81</v>
      </c>
      <c r="C86" s="10" t="s">
        <v>28</v>
      </c>
      <c r="D86" s="10" t="s">
        <v>216</v>
      </c>
      <c r="E86" s="82">
        <v>32409200</v>
      </c>
      <c r="F86" s="85">
        <f>IFERROR(VLOOKUP(D86,'1월'!D:F,3,0),)</f>
        <v>2</v>
      </c>
      <c r="G86" s="58">
        <v>4</v>
      </c>
      <c r="H86" s="58"/>
      <c r="I86" s="58"/>
      <c r="J86" s="58"/>
      <c r="K86" s="81"/>
      <c r="L86" s="42" t="str">
        <f>IF($F86&gt;=L$2,"-",IF(IFERROR(VLOOKUP($G86,$U:$U,1,1),0)&gt;=L$2,"o","-"))</f>
        <v>-</v>
      </c>
      <c r="M86" s="42" t="str">
        <f>IF($F86&gt;=M$2,"-",IF(IFERROR(VLOOKUP($G86,$U:$U,1,1),0)&gt;=M$2,"o","-"))</f>
        <v>o</v>
      </c>
      <c r="N86" s="42" t="str">
        <f>IF($F86&gt;=N$2,"-",IF(IFERROR(VLOOKUP($G86,$U:$U,1,1),0)&gt;=N$2,"o","-"))</f>
        <v>-</v>
      </c>
      <c r="O86" s="42" t="str">
        <f>IF($F86&gt;=O$2,"-",IF(IFERROR(VLOOKUP($G86,$U:$U,1,1),0)&gt;=O$2,"o","-"))</f>
        <v>-</v>
      </c>
      <c r="P86" s="42" t="str">
        <f>IF($F86&gt;=P$2,"-",IF(IFERROR(VLOOKUP($G86,$U:$U,1,1),0)&gt;=P$2,"o","-"))</f>
        <v>-</v>
      </c>
      <c r="Q86" s="42" t="str">
        <f>IF($F86&gt;=Q$2,"-",IF(IFERROR(VLOOKUP($G86,$U:$U,1,1),0)&gt;=Q$2,"o","-"))</f>
        <v>-</v>
      </c>
      <c r="R86" s="42" t="str">
        <f>IF($F86&gt;=R$2,"-",IF(IFERROR(VLOOKUP($G86,$U:$U,1,1),0)&gt;=R$2,"o","-"))</f>
        <v>-</v>
      </c>
      <c r="S86" s="12">
        <f>IF(L86="o",50000,0)+IF(M86="o",100000,0)+IF(N86="o",200000,0)+IF(O86="o",400000,0)+IF(P86="o",600000,0)+IF(Q86="o",1000000,0)+IF(R86="o",2000000,0)</f>
        <v>100000</v>
      </c>
    </row>
    <row r="87" spans="2:19">
      <c r="B87" s="9">
        <v>82</v>
      </c>
      <c r="C87" s="10" t="s">
        <v>45</v>
      </c>
      <c r="D87" s="10" t="s">
        <v>233</v>
      </c>
      <c r="E87" s="82">
        <v>40800206</v>
      </c>
      <c r="F87" s="85">
        <f>IFERROR(VLOOKUP(D87,'1월'!D:F,3,0),)</f>
        <v>2</v>
      </c>
      <c r="G87" s="58">
        <v>4</v>
      </c>
      <c r="H87" s="58"/>
      <c r="I87" s="58"/>
      <c r="J87" s="58"/>
      <c r="K87" s="81"/>
      <c r="L87" s="42" t="str">
        <f>IF($F87&gt;=L$2,"-",IF(IFERROR(VLOOKUP($G87,$U:$U,1,1),0)&gt;=L$2,"o","-"))</f>
        <v>-</v>
      </c>
      <c r="M87" s="42" t="str">
        <f>IF($F87&gt;=M$2,"-",IF(IFERROR(VLOOKUP($G87,$U:$U,1,1),0)&gt;=M$2,"o","-"))</f>
        <v>o</v>
      </c>
      <c r="N87" s="42" t="str">
        <f>IF($F87&gt;=N$2,"-",IF(IFERROR(VLOOKUP($G87,$U:$U,1,1),0)&gt;=N$2,"o","-"))</f>
        <v>-</v>
      </c>
      <c r="O87" s="42" t="str">
        <f>IF($F87&gt;=O$2,"-",IF(IFERROR(VLOOKUP($G87,$U:$U,1,1),0)&gt;=O$2,"o","-"))</f>
        <v>-</v>
      </c>
      <c r="P87" s="42" t="str">
        <f>IF($F87&gt;=P$2,"-",IF(IFERROR(VLOOKUP($G87,$U:$U,1,1),0)&gt;=P$2,"o","-"))</f>
        <v>-</v>
      </c>
      <c r="Q87" s="42" t="str">
        <f>IF($F87&gt;=Q$2,"-",IF(IFERROR(VLOOKUP($G87,$U:$U,1,1),0)&gt;=Q$2,"o","-"))</f>
        <v>-</v>
      </c>
      <c r="R87" s="42" t="str">
        <f>IF($F87&gt;=R$2,"-",IF(IFERROR(VLOOKUP($G87,$U:$U,1,1),0)&gt;=R$2,"o","-"))</f>
        <v>-</v>
      </c>
      <c r="S87" s="12">
        <f>IF(L87="o",50000,0)+IF(M87="o",100000,0)+IF(N87="o",200000,0)+IF(O87="o",400000,0)+IF(P87="o",600000,0)+IF(Q87="o",1000000,0)+IF(R87="o",2000000,0)</f>
        <v>100000</v>
      </c>
    </row>
    <row r="88" spans="2:19">
      <c r="B88" s="9">
        <v>83</v>
      </c>
      <c r="C88" s="10" t="s">
        <v>29</v>
      </c>
      <c r="D88" s="10" t="s">
        <v>217</v>
      </c>
      <c r="E88" s="82">
        <v>32408904</v>
      </c>
      <c r="F88" s="85">
        <f>IFERROR(VLOOKUP(D88,'1월'!D:F,3,0),)</f>
        <v>2</v>
      </c>
      <c r="G88" s="58">
        <v>4</v>
      </c>
      <c r="H88" s="58"/>
      <c r="I88" s="58"/>
      <c r="J88" s="58"/>
      <c r="K88" s="81"/>
      <c r="L88" s="42" t="str">
        <f>IF($F88&gt;=L$2,"-",IF(IFERROR(VLOOKUP($G88,$U:$U,1,1),0)&gt;=L$2,"o","-"))</f>
        <v>-</v>
      </c>
      <c r="M88" s="42" t="str">
        <f>IF($F88&gt;=M$2,"-",IF(IFERROR(VLOOKUP($G88,$U:$U,1,1),0)&gt;=M$2,"o","-"))</f>
        <v>o</v>
      </c>
      <c r="N88" s="42" t="str">
        <f>IF($F88&gt;=N$2,"-",IF(IFERROR(VLOOKUP($G88,$U:$U,1,1),0)&gt;=N$2,"o","-"))</f>
        <v>-</v>
      </c>
      <c r="O88" s="42" t="str">
        <f>IF($F88&gt;=O$2,"-",IF(IFERROR(VLOOKUP($G88,$U:$U,1,1),0)&gt;=O$2,"o","-"))</f>
        <v>-</v>
      </c>
      <c r="P88" s="42" t="str">
        <f>IF($F88&gt;=P$2,"-",IF(IFERROR(VLOOKUP($G88,$U:$U,1,1),0)&gt;=P$2,"o","-"))</f>
        <v>-</v>
      </c>
      <c r="Q88" s="42" t="str">
        <f>IF($F88&gt;=Q$2,"-",IF(IFERROR(VLOOKUP($G88,$U:$U,1,1),0)&gt;=Q$2,"o","-"))</f>
        <v>-</v>
      </c>
      <c r="R88" s="42" t="str">
        <f>IF($F88&gt;=R$2,"-",IF(IFERROR(VLOOKUP($G88,$U:$U,1,1),0)&gt;=R$2,"o","-"))</f>
        <v>-</v>
      </c>
      <c r="S88" s="12">
        <f>IF(L88="o",50000,0)+IF(M88="o",100000,0)+IF(N88="o",200000,0)+IF(O88="o",400000,0)+IF(P88="o",600000,0)+IF(Q88="o",1000000,0)+IF(R88="o",2000000,0)</f>
        <v>100000</v>
      </c>
    </row>
    <row r="89" spans="2:19">
      <c r="B89" s="9">
        <v>84</v>
      </c>
      <c r="C89" s="10" t="s">
        <v>30</v>
      </c>
      <c r="D89" s="10" t="s">
        <v>218</v>
      </c>
      <c r="E89" s="82">
        <v>41900899</v>
      </c>
      <c r="F89" s="85">
        <f>IFERROR(VLOOKUP(D89,'1월'!D:F,3,0),)</f>
        <v>2</v>
      </c>
      <c r="G89" s="58">
        <v>4</v>
      </c>
      <c r="H89" s="58"/>
      <c r="I89" s="58"/>
      <c r="J89" s="58"/>
      <c r="K89" s="81"/>
      <c r="L89" s="42" t="str">
        <f>IF($F89&gt;=L$2,"-",IF(IFERROR(VLOOKUP($G89,$U:$U,1,1),0)&gt;=L$2,"o","-"))</f>
        <v>-</v>
      </c>
      <c r="M89" s="42" t="str">
        <f>IF($F89&gt;=M$2,"-",IF(IFERROR(VLOOKUP($G89,$U:$U,1,1),0)&gt;=M$2,"o","-"))</f>
        <v>o</v>
      </c>
      <c r="N89" s="42" t="str">
        <f>IF($F89&gt;=N$2,"-",IF(IFERROR(VLOOKUP($G89,$U:$U,1,1),0)&gt;=N$2,"o","-"))</f>
        <v>-</v>
      </c>
      <c r="O89" s="42" t="str">
        <f>IF($F89&gt;=O$2,"-",IF(IFERROR(VLOOKUP($G89,$U:$U,1,1),0)&gt;=O$2,"o","-"))</f>
        <v>-</v>
      </c>
      <c r="P89" s="42" t="str">
        <f>IF($F89&gt;=P$2,"-",IF(IFERROR(VLOOKUP($G89,$U:$U,1,1),0)&gt;=P$2,"o","-"))</f>
        <v>-</v>
      </c>
      <c r="Q89" s="42" t="str">
        <f>IF($F89&gt;=Q$2,"-",IF(IFERROR(VLOOKUP($G89,$U:$U,1,1),0)&gt;=Q$2,"o","-"))</f>
        <v>-</v>
      </c>
      <c r="R89" s="42" t="str">
        <f>IF($F89&gt;=R$2,"-",IF(IFERROR(VLOOKUP($G89,$U:$U,1,1),0)&gt;=R$2,"o","-"))</f>
        <v>-</v>
      </c>
      <c r="S89" s="12">
        <f>IF(L89="o",50000,0)+IF(M89="o",100000,0)+IF(N89="o",200000,0)+IF(O89="o",400000,0)+IF(P89="o",600000,0)+IF(Q89="o",1000000,0)+IF(R89="o",2000000,0)</f>
        <v>100000</v>
      </c>
    </row>
    <row r="90" spans="2:19">
      <c r="B90" s="9">
        <v>85</v>
      </c>
      <c r="C90" s="10" t="s">
        <v>483</v>
      </c>
      <c r="D90" s="10" t="s">
        <v>718</v>
      </c>
      <c r="E90" s="82">
        <v>41308905</v>
      </c>
      <c r="F90" s="85">
        <f>IFERROR(VLOOKUP(D90,'1월'!D:F,3,0),)</f>
        <v>0</v>
      </c>
      <c r="G90" s="58">
        <v>2</v>
      </c>
      <c r="H90" s="58"/>
      <c r="I90" s="58"/>
      <c r="J90" s="58"/>
      <c r="K90" s="81"/>
      <c r="L90" s="42" t="str">
        <f>IF($F90&gt;=L$2,"-",IF(IFERROR(VLOOKUP($G90,$U:$U,1,1),0)&gt;=L$2,"o","-"))</f>
        <v>o</v>
      </c>
      <c r="M90" s="42" t="str">
        <f>IF($F90&gt;=M$2,"-",IF(IFERROR(VLOOKUP($G90,$U:$U,1,1),0)&gt;=M$2,"o","-"))</f>
        <v>-</v>
      </c>
      <c r="N90" s="42" t="str">
        <f>IF($F90&gt;=N$2,"-",IF(IFERROR(VLOOKUP($G90,$U:$U,1,1),0)&gt;=N$2,"o","-"))</f>
        <v>-</v>
      </c>
      <c r="O90" s="42" t="str">
        <f>IF($F90&gt;=O$2,"-",IF(IFERROR(VLOOKUP($G90,$U:$U,1,1),0)&gt;=O$2,"o","-"))</f>
        <v>-</v>
      </c>
      <c r="P90" s="42" t="str">
        <f>IF($F90&gt;=P$2,"-",IF(IFERROR(VLOOKUP($G90,$U:$U,1,1),0)&gt;=P$2,"o","-"))</f>
        <v>-</v>
      </c>
      <c r="Q90" s="42" t="str">
        <f>IF($F90&gt;=Q$2,"-",IF(IFERROR(VLOOKUP($G90,$U:$U,1,1),0)&gt;=Q$2,"o","-"))</f>
        <v>-</v>
      </c>
      <c r="R90" s="42" t="str">
        <f>IF($F90&gt;=R$2,"-",IF(IFERROR(VLOOKUP($G90,$U:$U,1,1),0)&gt;=R$2,"o","-"))</f>
        <v>-</v>
      </c>
      <c r="S90" s="12">
        <f>IF(L90="o",50000,0)+IF(M90="o",100000,0)+IF(N90="o",200000,0)+IF(O90="o",400000,0)+IF(P90="o",600000,0)+IF(Q90="o",1000000,0)+IF(R90="o",2000000,0)</f>
        <v>50000</v>
      </c>
    </row>
    <row r="91" spans="2:19">
      <c r="B91" s="9">
        <v>86</v>
      </c>
      <c r="C91" s="10" t="s">
        <v>484</v>
      </c>
      <c r="D91" s="10" t="s">
        <v>719</v>
      </c>
      <c r="E91" s="82">
        <v>42201290</v>
      </c>
      <c r="F91" s="85">
        <f>IFERROR(VLOOKUP(D91,'1월'!D:F,3,0),)</f>
        <v>0</v>
      </c>
      <c r="G91" s="58">
        <v>2</v>
      </c>
      <c r="H91" s="58"/>
      <c r="I91" s="58"/>
      <c r="J91" s="58"/>
      <c r="K91" s="81"/>
      <c r="L91" s="42" t="str">
        <f>IF($F91&gt;=L$2,"-",IF(IFERROR(VLOOKUP($G91,$U:$U,1,1),0)&gt;=L$2,"o","-"))</f>
        <v>o</v>
      </c>
      <c r="M91" s="42" t="str">
        <f>IF($F91&gt;=M$2,"-",IF(IFERROR(VLOOKUP($G91,$U:$U,1,1),0)&gt;=M$2,"o","-"))</f>
        <v>-</v>
      </c>
      <c r="N91" s="42" t="str">
        <f>IF($F91&gt;=N$2,"-",IF(IFERROR(VLOOKUP($G91,$U:$U,1,1),0)&gt;=N$2,"o","-"))</f>
        <v>-</v>
      </c>
      <c r="O91" s="42" t="str">
        <f>IF($F91&gt;=O$2,"-",IF(IFERROR(VLOOKUP($G91,$U:$U,1,1),0)&gt;=O$2,"o","-"))</f>
        <v>-</v>
      </c>
      <c r="P91" s="42" t="str">
        <f>IF($F91&gt;=P$2,"-",IF(IFERROR(VLOOKUP($G91,$U:$U,1,1),0)&gt;=P$2,"o","-"))</f>
        <v>-</v>
      </c>
      <c r="Q91" s="42" t="str">
        <f>IF($F91&gt;=Q$2,"-",IF(IFERROR(VLOOKUP($G91,$U:$U,1,1),0)&gt;=Q$2,"o","-"))</f>
        <v>-</v>
      </c>
      <c r="R91" s="42" t="str">
        <f>IF($F91&gt;=R$2,"-",IF(IFERROR(VLOOKUP($G91,$U:$U,1,1),0)&gt;=R$2,"o","-"))</f>
        <v>-</v>
      </c>
      <c r="S91" s="12">
        <f>IF(L91="o",50000,0)+IF(M91="o",100000,0)+IF(N91="o",200000,0)+IF(O91="o",400000,0)+IF(P91="o",600000,0)+IF(Q91="o",1000000,0)+IF(R91="o",2000000,0)</f>
        <v>50000</v>
      </c>
    </row>
    <row r="92" spans="2:19">
      <c r="B92" s="9">
        <v>87</v>
      </c>
      <c r="C92" s="10" t="s">
        <v>485</v>
      </c>
      <c r="D92" s="10" t="s">
        <v>720</v>
      </c>
      <c r="E92" s="82">
        <v>41805822</v>
      </c>
      <c r="F92" s="85">
        <f>IFERROR(VLOOKUP(D92,'1월'!D:F,3,0),)</f>
        <v>0</v>
      </c>
      <c r="G92" s="58">
        <v>2</v>
      </c>
      <c r="H92" s="58"/>
      <c r="I92" s="58"/>
      <c r="J92" s="58"/>
      <c r="K92" s="81"/>
      <c r="L92" s="42" t="str">
        <f>IF($F92&gt;=L$2,"-",IF(IFERROR(VLOOKUP($G92,$U:$U,1,1),0)&gt;=L$2,"o","-"))</f>
        <v>o</v>
      </c>
      <c r="M92" s="42" t="str">
        <f>IF($F92&gt;=M$2,"-",IF(IFERROR(VLOOKUP($G92,$U:$U,1,1),0)&gt;=M$2,"o","-"))</f>
        <v>-</v>
      </c>
      <c r="N92" s="42" t="str">
        <f>IF($F92&gt;=N$2,"-",IF(IFERROR(VLOOKUP($G92,$U:$U,1,1),0)&gt;=N$2,"o","-"))</f>
        <v>-</v>
      </c>
      <c r="O92" s="42" t="str">
        <f>IF($F92&gt;=O$2,"-",IF(IFERROR(VLOOKUP($G92,$U:$U,1,1),0)&gt;=O$2,"o","-"))</f>
        <v>-</v>
      </c>
      <c r="P92" s="42" t="str">
        <f>IF($F92&gt;=P$2,"-",IF(IFERROR(VLOOKUP($G92,$U:$U,1,1),0)&gt;=P$2,"o","-"))</f>
        <v>-</v>
      </c>
      <c r="Q92" s="42" t="str">
        <f>IF($F92&gt;=Q$2,"-",IF(IFERROR(VLOOKUP($G92,$U:$U,1,1),0)&gt;=Q$2,"o","-"))</f>
        <v>-</v>
      </c>
      <c r="R92" s="42" t="str">
        <f>IF($F92&gt;=R$2,"-",IF(IFERROR(VLOOKUP($G92,$U:$U,1,1),0)&gt;=R$2,"o","-"))</f>
        <v>-</v>
      </c>
      <c r="S92" s="12">
        <f>IF(L92="o",50000,0)+IF(M92="o",100000,0)+IF(N92="o",200000,0)+IF(O92="o",400000,0)+IF(P92="o",600000,0)+IF(Q92="o",1000000,0)+IF(R92="o",2000000,0)</f>
        <v>50000</v>
      </c>
    </row>
    <row r="93" spans="2:19">
      <c r="B93" s="9">
        <v>88</v>
      </c>
      <c r="C93" s="10" t="s">
        <v>486</v>
      </c>
      <c r="D93" s="10" t="s">
        <v>721</v>
      </c>
      <c r="E93" s="82">
        <v>32302758</v>
      </c>
      <c r="F93" s="85">
        <f>IFERROR(VLOOKUP(D93,'1월'!D:F,3,0),)</f>
        <v>0</v>
      </c>
      <c r="G93" s="58">
        <v>2</v>
      </c>
      <c r="H93" s="58"/>
      <c r="I93" s="58"/>
      <c r="J93" s="58"/>
      <c r="K93" s="81"/>
      <c r="L93" s="42" t="str">
        <f>IF($F93&gt;=L$2,"-",IF(IFERROR(VLOOKUP($G93,$U:$U,1,1),0)&gt;=L$2,"o","-"))</f>
        <v>o</v>
      </c>
      <c r="M93" s="42" t="str">
        <f>IF($F93&gt;=M$2,"-",IF(IFERROR(VLOOKUP($G93,$U:$U,1,1),0)&gt;=M$2,"o","-"))</f>
        <v>-</v>
      </c>
      <c r="N93" s="42" t="str">
        <f>IF($F93&gt;=N$2,"-",IF(IFERROR(VLOOKUP($G93,$U:$U,1,1),0)&gt;=N$2,"o","-"))</f>
        <v>-</v>
      </c>
      <c r="O93" s="42" t="str">
        <f>IF($F93&gt;=O$2,"-",IF(IFERROR(VLOOKUP($G93,$U:$U,1,1),0)&gt;=O$2,"o","-"))</f>
        <v>-</v>
      </c>
      <c r="P93" s="42" t="str">
        <f>IF($F93&gt;=P$2,"-",IF(IFERROR(VLOOKUP($G93,$U:$U,1,1),0)&gt;=P$2,"o","-"))</f>
        <v>-</v>
      </c>
      <c r="Q93" s="42" t="str">
        <f>IF($F93&gt;=Q$2,"-",IF(IFERROR(VLOOKUP($G93,$U:$U,1,1),0)&gt;=Q$2,"o","-"))</f>
        <v>-</v>
      </c>
      <c r="R93" s="42" t="str">
        <f>IF($F93&gt;=R$2,"-",IF(IFERROR(VLOOKUP($G93,$U:$U,1,1),0)&gt;=R$2,"o","-"))</f>
        <v>-</v>
      </c>
      <c r="S93" s="12">
        <f>IF(L93="o",50000,0)+IF(M93="o",100000,0)+IF(N93="o",200000,0)+IF(O93="o",400000,0)+IF(P93="o",600000,0)+IF(Q93="o",1000000,0)+IF(R93="o",2000000,0)</f>
        <v>50000</v>
      </c>
    </row>
    <row r="94" spans="2:19">
      <c r="B94" s="9">
        <v>89</v>
      </c>
      <c r="C94" s="10" t="s">
        <v>487</v>
      </c>
      <c r="D94" s="10" t="s">
        <v>722</v>
      </c>
      <c r="E94" s="82">
        <v>41500181</v>
      </c>
      <c r="F94" s="85">
        <f>IFERROR(VLOOKUP(D94,'1월'!D:F,3,0),)</f>
        <v>0</v>
      </c>
      <c r="G94" s="58">
        <v>2</v>
      </c>
      <c r="H94" s="58"/>
      <c r="I94" s="58"/>
      <c r="J94" s="58"/>
      <c r="K94" s="81"/>
      <c r="L94" s="42" t="str">
        <f>IF($F94&gt;=L$2,"-",IF(IFERROR(VLOOKUP($G94,$U:$U,1,1),0)&gt;=L$2,"o","-"))</f>
        <v>o</v>
      </c>
      <c r="M94" s="42" t="str">
        <f>IF($F94&gt;=M$2,"-",IF(IFERROR(VLOOKUP($G94,$U:$U,1,1),0)&gt;=M$2,"o","-"))</f>
        <v>-</v>
      </c>
      <c r="N94" s="42" t="str">
        <f>IF($F94&gt;=N$2,"-",IF(IFERROR(VLOOKUP($G94,$U:$U,1,1),0)&gt;=N$2,"o","-"))</f>
        <v>-</v>
      </c>
      <c r="O94" s="42" t="str">
        <f>IF($F94&gt;=O$2,"-",IF(IFERROR(VLOOKUP($G94,$U:$U,1,1),0)&gt;=O$2,"o","-"))</f>
        <v>-</v>
      </c>
      <c r="P94" s="42" t="str">
        <f>IF($F94&gt;=P$2,"-",IF(IFERROR(VLOOKUP($G94,$U:$U,1,1),0)&gt;=P$2,"o","-"))</f>
        <v>-</v>
      </c>
      <c r="Q94" s="42" t="str">
        <f>IF($F94&gt;=Q$2,"-",IF(IFERROR(VLOOKUP($G94,$U:$U,1,1),0)&gt;=Q$2,"o","-"))</f>
        <v>-</v>
      </c>
      <c r="R94" s="42" t="str">
        <f>IF($F94&gt;=R$2,"-",IF(IFERROR(VLOOKUP($G94,$U:$U,1,1),0)&gt;=R$2,"o","-"))</f>
        <v>-</v>
      </c>
      <c r="S94" s="12">
        <f>IF(L94="o",50000,0)+IF(M94="o",100000,0)+IF(N94="o",200000,0)+IF(O94="o",400000,0)+IF(P94="o",600000,0)+IF(Q94="o",1000000,0)+IF(R94="o",2000000,0)</f>
        <v>50000</v>
      </c>
    </row>
    <row r="95" spans="2:19">
      <c r="B95" s="9">
        <v>90</v>
      </c>
      <c r="C95" s="10" t="s">
        <v>488</v>
      </c>
      <c r="D95" s="10" t="s">
        <v>723</v>
      </c>
      <c r="E95" s="82">
        <v>42500397</v>
      </c>
      <c r="F95" s="85">
        <f>IFERROR(VLOOKUP(D95,'1월'!D:F,3,0),)</f>
        <v>0</v>
      </c>
      <c r="G95" s="58">
        <v>2</v>
      </c>
      <c r="H95" s="58"/>
      <c r="I95" s="58"/>
      <c r="J95" s="58"/>
      <c r="K95" s="81"/>
      <c r="L95" s="42" t="str">
        <f>IF($F95&gt;=L$2,"-",IF(IFERROR(VLOOKUP($G95,$U:$U,1,1),0)&gt;=L$2,"o","-"))</f>
        <v>o</v>
      </c>
      <c r="M95" s="42" t="str">
        <f>IF($F95&gt;=M$2,"-",IF(IFERROR(VLOOKUP($G95,$U:$U,1,1),0)&gt;=M$2,"o","-"))</f>
        <v>-</v>
      </c>
      <c r="N95" s="42" t="str">
        <f>IF($F95&gt;=N$2,"-",IF(IFERROR(VLOOKUP($G95,$U:$U,1,1),0)&gt;=N$2,"o","-"))</f>
        <v>-</v>
      </c>
      <c r="O95" s="42" t="str">
        <f>IF($F95&gt;=O$2,"-",IF(IFERROR(VLOOKUP($G95,$U:$U,1,1),0)&gt;=O$2,"o","-"))</f>
        <v>-</v>
      </c>
      <c r="P95" s="42" t="str">
        <f>IF($F95&gt;=P$2,"-",IF(IFERROR(VLOOKUP($G95,$U:$U,1,1),0)&gt;=P$2,"o","-"))</f>
        <v>-</v>
      </c>
      <c r="Q95" s="42" t="str">
        <f>IF($F95&gt;=Q$2,"-",IF(IFERROR(VLOOKUP($G95,$U:$U,1,1),0)&gt;=Q$2,"o","-"))</f>
        <v>-</v>
      </c>
      <c r="R95" s="42" t="str">
        <f>IF($F95&gt;=R$2,"-",IF(IFERROR(VLOOKUP($G95,$U:$U,1,1),0)&gt;=R$2,"o","-"))</f>
        <v>-</v>
      </c>
      <c r="S95" s="12">
        <f>IF(L95="o",50000,0)+IF(M95="o",100000,0)+IF(N95="o",200000,0)+IF(O95="o",400000,0)+IF(P95="o",600000,0)+IF(Q95="o",1000000,0)+IF(R95="o",2000000,0)</f>
        <v>50000</v>
      </c>
    </row>
    <row r="96" spans="2:19">
      <c r="B96" s="9">
        <v>91</v>
      </c>
      <c r="C96" s="10" t="s">
        <v>489</v>
      </c>
      <c r="D96" s="10" t="s">
        <v>724</v>
      </c>
      <c r="E96" s="82">
        <v>32001059</v>
      </c>
      <c r="F96" s="85">
        <f>IFERROR(VLOOKUP(D96,'1월'!D:F,3,0),)</f>
        <v>0</v>
      </c>
      <c r="G96" s="58">
        <v>2</v>
      </c>
      <c r="H96" s="58"/>
      <c r="I96" s="58"/>
      <c r="J96" s="58"/>
      <c r="K96" s="81"/>
      <c r="L96" s="42" t="str">
        <f>IF($F96&gt;=L$2,"-",IF(IFERROR(VLOOKUP($G96,$U:$U,1,1),0)&gt;=L$2,"o","-"))</f>
        <v>o</v>
      </c>
      <c r="M96" s="42" t="str">
        <f>IF($F96&gt;=M$2,"-",IF(IFERROR(VLOOKUP($G96,$U:$U,1,1),0)&gt;=M$2,"o","-"))</f>
        <v>-</v>
      </c>
      <c r="N96" s="42" t="str">
        <f>IF($F96&gt;=N$2,"-",IF(IFERROR(VLOOKUP($G96,$U:$U,1,1),0)&gt;=N$2,"o","-"))</f>
        <v>-</v>
      </c>
      <c r="O96" s="42" t="str">
        <f>IF($F96&gt;=O$2,"-",IF(IFERROR(VLOOKUP($G96,$U:$U,1,1),0)&gt;=O$2,"o","-"))</f>
        <v>-</v>
      </c>
      <c r="P96" s="42" t="str">
        <f>IF($F96&gt;=P$2,"-",IF(IFERROR(VLOOKUP($G96,$U:$U,1,1),0)&gt;=P$2,"o","-"))</f>
        <v>-</v>
      </c>
      <c r="Q96" s="42" t="str">
        <f>IF($F96&gt;=Q$2,"-",IF(IFERROR(VLOOKUP($G96,$U:$U,1,1),0)&gt;=Q$2,"o","-"))</f>
        <v>-</v>
      </c>
      <c r="R96" s="42" t="str">
        <f>IF($F96&gt;=R$2,"-",IF(IFERROR(VLOOKUP($G96,$U:$U,1,1),0)&gt;=R$2,"o","-"))</f>
        <v>-</v>
      </c>
      <c r="S96" s="12">
        <f>IF(L96="o",50000,0)+IF(M96="o",100000,0)+IF(N96="o",200000,0)+IF(O96="o",400000,0)+IF(P96="o",600000,0)+IF(Q96="o",1000000,0)+IF(R96="o",2000000,0)</f>
        <v>50000</v>
      </c>
    </row>
    <row r="97" spans="2:19">
      <c r="B97" s="9">
        <v>92</v>
      </c>
      <c r="C97" s="10" t="s">
        <v>490</v>
      </c>
      <c r="D97" s="10" t="s">
        <v>725</v>
      </c>
      <c r="E97" s="82">
        <v>42001076</v>
      </c>
      <c r="F97" s="85">
        <f>IFERROR(VLOOKUP(D97,'1월'!D:F,3,0),)</f>
        <v>0</v>
      </c>
      <c r="G97" s="58">
        <v>2</v>
      </c>
      <c r="H97" s="58"/>
      <c r="I97" s="58"/>
      <c r="J97" s="58"/>
      <c r="K97" s="81"/>
      <c r="L97" s="42" t="str">
        <f>IF($F97&gt;=L$2,"-",IF(IFERROR(VLOOKUP($G97,$U:$U,1,1),0)&gt;=L$2,"o","-"))</f>
        <v>o</v>
      </c>
      <c r="M97" s="42" t="str">
        <f>IF($F97&gt;=M$2,"-",IF(IFERROR(VLOOKUP($G97,$U:$U,1,1),0)&gt;=M$2,"o","-"))</f>
        <v>-</v>
      </c>
      <c r="N97" s="42" t="str">
        <f>IF($F97&gt;=N$2,"-",IF(IFERROR(VLOOKUP($G97,$U:$U,1,1),0)&gt;=N$2,"o","-"))</f>
        <v>-</v>
      </c>
      <c r="O97" s="42" t="str">
        <f>IF($F97&gt;=O$2,"-",IF(IFERROR(VLOOKUP($G97,$U:$U,1,1),0)&gt;=O$2,"o","-"))</f>
        <v>-</v>
      </c>
      <c r="P97" s="42" t="str">
        <f>IF($F97&gt;=P$2,"-",IF(IFERROR(VLOOKUP($G97,$U:$U,1,1),0)&gt;=P$2,"o","-"))</f>
        <v>-</v>
      </c>
      <c r="Q97" s="42" t="str">
        <f>IF($F97&gt;=Q$2,"-",IF(IFERROR(VLOOKUP($G97,$U:$U,1,1),0)&gt;=Q$2,"o","-"))</f>
        <v>-</v>
      </c>
      <c r="R97" s="42" t="str">
        <f>IF($F97&gt;=R$2,"-",IF(IFERROR(VLOOKUP($G97,$U:$U,1,1),0)&gt;=R$2,"o","-"))</f>
        <v>-</v>
      </c>
      <c r="S97" s="12">
        <f>IF(L97="o",50000,0)+IF(M97="o",100000,0)+IF(N97="o",200000,0)+IF(O97="o",400000,0)+IF(P97="o",600000,0)+IF(Q97="o",1000000,0)+IF(R97="o",2000000,0)</f>
        <v>50000</v>
      </c>
    </row>
    <row r="98" spans="2:19">
      <c r="B98" s="9">
        <v>93</v>
      </c>
      <c r="C98" s="10" t="s">
        <v>491</v>
      </c>
      <c r="D98" s="10" t="s">
        <v>726</v>
      </c>
      <c r="E98" s="82">
        <v>41308716</v>
      </c>
      <c r="F98" s="85">
        <f>IFERROR(VLOOKUP(D98,'1월'!D:F,3,0),)</f>
        <v>0</v>
      </c>
      <c r="G98" s="58">
        <v>2</v>
      </c>
      <c r="H98" s="58"/>
      <c r="I98" s="58"/>
      <c r="J98" s="58"/>
      <c r="K98" s="81"/>
      <c r="L98" s="42" t="str">
        <f>IF($F98&gt;=L$2,"-",IF(IFERROR(VLOOKUP($G98,$U:$U,1,1),0)&gt;=L$2,"o","-"))</f>
        <v>o</v>
      </c>
      <c r="M98" s="42" t="str">
        <f>IF($F98&gt;=M$2,"-",IF(IFERROR(VLOOKUP($G98,$U:$U,1,1),0)&gt;=M$2,"o","-"))</f>
        <v>-</v>
      </c>
      <c r="N98" s="42" t="str">
        <f>IF($F98&gt;=N$2,"-",IF(IFERROR(VLOOKUP($G98,$U:$U,1,1),0)&gt;=N$2,"o","-"))</f>
        <v>-</v>
      </c>
      <c r="O98" s="42" t="str">
        <f>IF($F98&gt;=O$2,"-",IF(IFERROR(VLOOKUP($G98,$U:$U,1,1),0)&gt;=O$2,"o","-"))</f>
        <v>-</v>
      </c>
      <c r="P98" s="42" t="str">
        <f>IF($F98&gt;=P$2,"-",IF(IFERROR(VLOOKUP($G98,$U:$U,1,1),0)&gt;=P$2,"o","-"))</f>
        <v>-</v>
      </c>
      <c r="Q98" s="42" t="str">
        <f>IF($F98&gt;=Q$2,"-",IF(IFERROR(VLOOKUP($G98,$U:$U,1,1),0)&gt;=Q$2,"o","-"))</f>
        <v>-</v>
      </c>
      <c r="R98" s="42" t="str">
        <f>IF($F98&gt;=R$2,"-",IF(IFERROR(VLOOKUP($G98,$U:$U,1,1),0)&gt;=R$2,"o","-"))</f>
        <v>-</v>
      </c>
      <c r="S98" s="12">
        <f>IF(L98="o",50000,0)+IF(M98="o",100000,0)+IF(N98="o",200000,0)+IF(O98="o",400000,0)+IF(P98="o",600000,0)+IF(Q98="o",1000000,0)+IF(R98="o",2000000,0)</f>
        <v>50000</v>
      </c>
    </row>
    <row r="99" spans="2:19">
      <c r="B99" s="9">
        <v>94</v>
      </c>
      <c r="C99" s="10" t="s">
        <v>492</v>
      </c>
      <c r="D99" s="10" t="s">
        <v>727</v>
      </c>
      <c r="E99" s="82">
        <v>32001194</v>
      </c>
      <c r="F99" s="85">
        <f>IFERROR(VLOOKUP(D99,'1월'!D:F,3,0),)</f>
        <v>0</v>
      </c>
      <c r="G99" s="58">
        <v>2</v>
      </c>
      <c r="H99" s="58"/>
      <c r="I99" s="58"/>
      <c r="J99" s="58"/>
      <c r="K99" s="81"/>
      <c r="L99" s="42" t="str">
        <f>IF($F99&gt;=L$2,"-",IF(IFERROR(VLOOKUP($G99,$U:$U,1,1),0)&gt;=L$2,"o","-"))</f>
        <v>o</v>
      </c>
      <c r="M99" s="42" t="str">
        <f>IF($F99&gt;=M$2,"-",IF(IFERROR(VLOOKUP($G99,$U:$U,1,1),0)&gt;=M$2,"o","-"))</f>
        <v>-</v>
      </c>
      <c r="N99" s="42" t="str">
        <f>IF($F99&gt;=N$2,"-",IF(IFERROR(VLOOKUP($G99,$U:$U,1,1),0)&gt;=N$2,"o","-"))</f>
        <v>-</v>
      </c>
      <c r="O99" s="42" t="str">
        <f>IF($F99&gt;=O$2,"-",IF(IFERROR(VLOOKUP($G99,$U:$U,1,1),0)&gt;=O$2,"o","-"))</f>
        <v>-</v>
      </c>
      <c r="P99" s="42" t="str">
        <f>IF($F99&gt;=P$2,"-",IF(IFERROR(VLOOKUP($G99,$U:$U,1,1),0)&gt;=P$2,"o","-"))</f>
        <v>-</v>
      </c>
      <c r="Q99" s="42" t="str">
        <f>IF($F99&gt;=Q$2,"-",IF(IFERROR(VLOOKUP($G99,$U:$U,1,1),0)&gt;=Q$2,"o","-"))</f>
        <v>-</v>
      </c>
      <c r="R99" s="42" t="str">
        <f>IF($F99&gt;=R$2,"-",IF(IFERROR(VLOOKUP($G99,$U:$U,1,1),0)&gt;=R$2,"o","-"))</f>
        <v>-</v>
      </c>
      <c r="S99" s="12">
        <f>IF(L99="o",50000,0)+IF(M99="o",100000,0)+IF(N99="o",200000,0)+IF(O99="o",400000,0)+IF(P99="o",600000,0)+IF(Q99="o",1000000,0)+IF(R99="o",2000000,0)</f>
        <v>50000</v>
      </c>
    </row>
    <row r="100" spans="2:19">
      <c r="B100" s="9">
        <v>95</v>
      </c>
      <c r="C100" s="10" t="s">
        <v>493</v>
      </c>
      <c r="D100" s="10" t="s">
        <v>728</v>
      </c>
      <c r="E100" s="82">
        <v>41304909</v>
      </c>
      <c r="F100" s="85">
        <f>IFERROR(VLOOKUP(D100,'1월'!D:F,3,0),)</f>
        <v>0</v>
      </c>
      <c r="G100" s="58">
        <v>2</v>
      </c>
      <c r="H100" s="58"/>
      <c r="I100" s="58"/>
      <c r="J100" s="58"/>
      <c r="K100" s="81"/>
      <c r="L100" s="42" t="str">
        <f>IF($F100&gt;=L$2,"-",IF(IFERROR(VLOOKUP($G100,$U:$U,1,1),0)&gt;=L$2,"o","-"))</f>
        <v>o</v>
      </c>
      <c r="M100" s="42" t="str">
        <f>IF($F100&gt;=M$2,"-",IF(IFERROR(VLOOKUP($G100,$U:$U,1,1),0)&gt;=M$2,"o","-"))</f>
        <v>-</v>
      </c>
      <c r="N100" s="42" t="str">
        <f>IF($F100&gt;=N$2,"-",IF(IFERROR(VLOOKUP($G100,$U:$U,1,1),0)&gt;=N$2,"o","-"))</f>
        <v>-</v>
      </c>
      <c r="O100" s="42" t="str">
        <f>IF($F100&gt;=O$2,"-",IF(IFERROR(VLOOKUP($G100,$U:$U,1,1),0)&gt;=O$2,"o","-"))</f>
        <v>-</v>
      </c>
      <c r="P100" s="42" t="str">
        <f>IF($F100&gt;=P$2,"-",IF(IFERROR(VLOOKUP($G100,$U:$U,1,1),0)&gt;=P$2,"o","-"))</f>
        <v>-</v>
      </c>
      <c r="Q100" s="42" t="str">
        <f>IF($F100&gt;=Q$2,"-",IF(IFERROR(VLOOKUP($G100,$U:$U,1,1),0)&gt;=Q$2,"o","-"))</f>
        <v>-</v>
      </c>
      <c r="R100" s="42" t="str">
        <f>IF($F100&gt;=R$2,"-",IF(IFERROR(VLOOKUP($G100,$U:$U,1,1),0)&gt;=R$2,"o","-"))</f>
        <v>-</v>
      </c>
      <c r="S100" s="12">
        <f>IF(L100="o",50000,0)+IF(M100="o",100000,0)+IF(N100="o",200000,0)+IF(O100="o",400000,0)+IF(P100="o",600000,0)+IF(Q100="o",1000000,0)+IF(R100="o",2000000,0)</f>
        <v>50000</v>
      </c>
    </row>
    <row r="101" spans="2:19">
      <c r="B101" s="9">
        <v>96</v>
      </c>
      <c r="C101" s="10" t="s">
        <v>494</v>
      </c>
      <c r="D101" s="10" t="s">
        <v>729</v>
      </c>
      <c r="E101" s="82">
        <v>40600046</v>
      </c>
      <c r="F101" s="85">
        <f>IFERROR(VLOOKUP(D101,'1월'!D:F,3,0),)</f>
        <v>0</v>
      </c>
      <c r="G101" s="58">
        <v>2</v>
      </c>
      <c r="H101" s="58"/>
      <c r="I101" s="58"/>
      <c r="J101" s="58"/>
      <c r="K101" s="81"/>
      <c r="L101" s="42" t="str">
        <f>IF($F101&gt;=L$2,"-",IF(IFERROR(VLOOKUP($G101,$U:$U,1,1),0)&gt;=L$2,"o","-"))</f>
        <v>o</v>
      </c>
      <c r="M101" s="42" t="str">
        <f>IF($F101&gt;=M$2,"-",IF(IFERROR(VLOOKUP($G101,$U:$U,1,1),0)&gt;=M$2,"o","-"))</f>
        <v>-</v>
      </c>
      <c r="N101" s="42" t="str">
        <f>IF($F101&gt;=N$2,"-",IF(IFERROR(VLOOKUP($G101,$U:$U,1,1),0)&gt;=N$2,"o","-"))</f>
        <v>-</v>
      </c>
      <c r="O101" s="42" t="str">
        <f>IF($F101&gt;=O$2,"-",IF(IFERROR(VLOOKUP($G101,$U:$U,1,1),0)&gt;=O$2,"o","-"))</f>
        <v>-</v>
      </c>
      <c r="P101" s="42" t="str">
        <f>IF($F101&gt;=P$2,"-",IF(IFERROR(VLOOKUP($G101,$U:$U,1,1),0)&gt;=P$2,"o","-"))</f>
        <v>-</v>
      </c>
      <c r="Q101" s="42" t="str">
        <f>IF($F101&gt;=Q$2,"-",IF(IFERROR(VLOOKUP($G101,$U:$U,1,1),0)&gt;=Q$2,"o","-"))</f>
        <v>-</v>
      </c>
      <c r="R101" s="42" t="str">
        <f>IF($F101&gt;=R$2,"-",IF(IFERROR(VLOOKUP($G101,$U:$U,1,1),0)&gt;=R$2,"o","-"))</f>
        <v>-</v>
      </c>
      <c r="S101" s="12">
        <f>IF(L101="o",50000,0)+IF(M101="o",100000,0)+IF(N101="o",200000,0)+IF(O101="o",400000,0)+IF(P101="o",600000,0)+IF(Q101="o",1000000,0)+IF(R101="o",2000000,0)</f>
        <v>50000</v>
      </c>
    </row>
    <row r="102" spans="2:19">
      <c r="B102" s="9">
        <v>97</v>
      </c>
      <c r="C102" s="10" t="s">
        <v>495</v>
      </c>
      <c r="D102" s="10" t="s">
        <v>730</v>
      </c>
      <c r="E102" s="82">
        <v>32202074</v>
      </c>
      <c r="F102" s="85">
        <f>IFERROR(VLOOKUP(D102,'1월'!D:F,3,0),)</f>
        <v>0</v>
      </c>
      <c r="G102" s="58">
        <v>2</v>
      </c>
      <c r="H102" s="58"/>
      <c r="I102" s="58"/>
      <c r="J102" s="58"/>
      <c r="K102" s="81"/>
      <c r="L102" s="42" t="str">
        <f>IF($F102&gt;=L$2,"-",IF(IFERROR(VLOOKUP($G102,$U:$U,1,1),0)&gt;=L$2,"o","-"))</f>
        <v>o</v>
      </c>
      <c r="M102" s="42" t="str">
        <f>IF($F102&gt;=M$2,"-",IF(IFERROR(VLOOKUP($G102,$U:$U,1,1),0)&gt;=M$2,"o","-"))</f>
        <v>-</v>
      </c>
      <c r="N102" s="42" t="str">
        <f>IF($F102&gt;=N$2,"-",IF(IFERROR(VLOOKUP($G102,$U:$U,1,1),0)&gt;=N$2,"o","-"))</f>
        <v>-</v>
      </c>
      <c r="O102" s="42" t="str">
        <f>IF($F102&gt;=O$2,"-",IF(IFERROR(VLOOKUP($G102,$U:$U,1,1),0)&gt;=O$2,"o","-"))</f>
        <v>-</v>
      </c>
      <c r="P102" s="42" t="str">
        <f>IF($F102&gt;=P$2,"-",IF(IFERROR(VLOOKUP($G102,$U:$U,1,1),0)&gt;=P$2,"o","-"))</f>
        <v>-</v>
      </c>
      <c r="Q102" s="42" t="str">
        <f>IF($F102&gt;=Q$2,"-",IF(IFERROR(VLOOKUP($G102,$U:$U,1,1),0)&gt;=Q$2,"o","-"))</f>
        <v>-</v>
      </c>
      <c r="R102" s="42" t="str">
        <f>IF($F102&gt;=R$2,"-",IF(IFERROR(VLOOKUP($G102,$U:$U,1,1),0)&gt;=R$2,"o","-"))</f>
        <v>-</v>
      </c>
      <c r="S102" s="12">
        <f>IF(L102="o",50000,0)+IF(M102="o",100000,0)+IF(N102="o",200000,0)+IF(O102="o",400000,0)+IF(P102="o",600000,0)+IF(Q102="o",1000000,0)+IF(R102="o",2000000,0)</f>
        <v>50000</v>
      </c>
    </row>
    <row r="103" spans="2:19">
      <c r="B103" s="9">
        <v>98</v>
      </c>
      <c r="C103" s="10" t="s">
        <v>496</v>
      </c>
      <c r="D103" s="10" t="s">
        <v>731</v>
      </c>
      <c r="E103" s="82">
        <v>42600125</v>
      </c>
      <c r="F103" s="85">
        <f>IFERROR(VLOOKUP(D103,'1월'!D:F,3,0),)</f>
        <v>0</v>
      </c>
      <c r="G103" s="58">
        <v>2</v>
      </c>
      <c r="H103" s="58"/>
      <c r="I103" s="58"/>
      <c r="J103" s="58"/>
      <c r="K103" s="81"/>
      <c r="L103" s="42" t="str">
        <f>IF($F103&gt;=L$2,"-",IF(IFERROR(VLOOKUP($G103,$U:$U,1,1),0)&gt;=L$2,"o","-"))</f>
        <v>o</v>
      </c>
      <c r="M103" s="42" t="str">
        <f>IF($F103&gt;=M$2,"-",IF(IFERROR(VLOOKUP($G103,$U:$U,1,1),0)&gt;=M$2,"o","-"))</f>
        <v>-</v>
      </c>
      <c r="N103" s="42" t="str">
        <f>IF($F103&gt;=N$2,"-",IF(IFERROR(VLOOKUP($G103,$U:$U,1,1),0)&gt;=N$2,"o","-"))</f>
        <v>-</v>
      </c>
      <c r="O103" s="42" t="str">
        <f>IF($F103&gt;=O$2,"-",IF(IFERROR(VLOOKUP($G103,$U:$U,1,1),0)&gt;=O$2,"o","-"))</f>
        <v>-</v>
      </c>
      <c r="P103" s="42" t="str">
        <f>IF($F103&gt;=P$2,"-",IF(IFERROR(VLOOKUP($G103,$U:$U,1,1),0)&gt;=P$2,"o","-"))</f>
        <v>-</v>
      </c>
      <c r="Q103" s="42" t="str">
        <f>IF($F103&gt;=Q$2,"-",IF(IFERROR(VLOOKUP($G103,$U:$U,1,1),0)&gt;=Q$2,"o","-"))</f>
        <v>-</v>
      </c>
      <c r="R103" s="42" t="str">
        <f>IF($F103&gt;=R$2,"-",IF(IFERROR(VLOOKUP($G103,$U:$U,1,1),0)&gt;=R$2,"o","-"))</f>
        <v>-</v>
      </c>
      <c r="S103" s="12">
        <f>IF(L103="o",50000,0)+IF(M103="o",100000,0)+IF(N103="o",200000,0)+IF(O103="o",400000,0)+IF(P103="o",600000,0)+IF(Q103="o",1000000,0)+IF(R103="o",2000000,0)</f>
        <v>50000</v>
      </c>
    </row>
    <row r="104" spans="2:19">
      <c r="B104" s="9">
        <v>99</v>
      </c>
      <c r="C104" s="10" t="s">
        <v>497</v>
      </c>
      <c r="D104" s="10" t="s">
        <v>732</v>
      </c>
      <c r="E104" s="82">
        <v>40902861</v>
      </c>
      <c r="F104" s="85">
        <f>IFERROR(VLOOKUP(D104,'1월'!D:F,3,0),)</f>
        <v>0</v>
      </c>
      <c r="G104" s="58">
        <v>2</v>
      </c>
      <c r="H104" s="58"/>
      <c r="I104" s="58"/>
      <c r="J104" s="58"/>
      <c r="K104" s="81"/>
      <c r="L104" s="42" t="str">
        <f>IF($F104&gt;=L$2,"-",IF(IFERROR(VLOOKUP($G104,$U:$U,1,1),0)&gt;=L$2,"o","-"))</f>
        <v>o</v>
      </c>
      <c r="M104" s="42" t="str">
        <f>IF($F104&gt;=M$2,"-",IF(IFERROR(VLOOKUP($G104,$U:$U,1,1),0)&gt;=M$2,"o","-"))</f>
        <v>-</v>
      </c>
      <c r="N104" s="42" t="str">
        <f>IF($F104&gt;=N$2,"-",IF(IFERROR(VLOOKUP($G104,$U:$U,1,1),0)&gt;=N$2,"o","-"))</f>
        <v>-</v>
      </c>
      <c r="O104" s="42" t="str">
        <f>IF($F104&gt;=O$2,"-",IF(IFERROR(VLOOKUP($G104,$U:$U,1,1),0)&gt;=O$2,"o","-"))</f>
        <v>-</v>
      </c>
      <c r="P104" s="42" t="str">
        <f>IF($F104&gt;=P$2,"-",IF(IFERROR(VLOOKUP($G104,$U:$U,1,1),0)&gt;=P$2,"o","-"))</f>
        <v>-</v>
      </c>
      <c r="Q104" s="42" t="str">
        <f>IF($F104&gt;=Q$2,"-",IF(IFERROR(VLOOKUP($G104,$U:$U,1,1),0)&gt;=Q$2,"o","-"))</f>
        <v>-</v>
      </c>
      <c r="R104" s="42" t="str">
        <f>IF($F104&gt;=R$2,"-",IF(IFERROR(VLOOKUP($G104,$U:$U,1,1),0)&gt;=R$2,"o","-"))</f>
        <v>-</v>
      </c>
      <c r="S104" s="12">
        <f>IF(L104="o",50000,0)+IF(M104="o",100000,0)+IF(N104="o",200000,0)+IF(O104="o",400000,0)+IF(P104="o",600000,0)+IF(Q104="o",1000000,0)+IF(R104="o",2000000,0)</f>
        <v>50000</v>
      </c>
    </row>
    <row r="105" spans="2:19">
      <c r="B105" s="9">
        <v>100</v>
      </c>
      <c r="C105" s="10" t="s">
        <v>498</v>
      </c>
      <c r="D105" s="10" t="s">
        <v>733</v>
      </c>
      <c r="E105" s="82">
        <v>41803211</v>
      </c>
      <c r="F105" s="85">
        <f>IFERROR(VLOOKUP(D105,'1월'!D:F,3,0),)</f>
        <v>0</v>
      </c>
      <c r="G105" s="58">
        <v>2</v>
      </c>
      <c r="H105" s="58"/>
      <c r="I105" s="58"/>
      <c r="J105" s="58"/>
      <c r="K105" s="81"/>
      <c r="L105" s="42" t="str">
        <f>IF($F105&gt;=L$2,"-",IF(IFERROR(VLOOKUP($G105,$U:$U,1,1),0)&gt;=L$2,"o","-"))</f>
        <v>o</v>
      </c>
      <c r="M105" s="42" t="str">
        <f>IF($F105&gt;=M$2,"-",IF(IFERROR(VLOOKUP($G105,$U:$U,1,1),0)&gt;=M$2,"o","-"))</f>
        <v>-</v>
      </c>
      <c r="N105" s="42" t="str">
        <f>IF($F105&gt;=N$2,"-",IF(IFERROR(VLOOKUP($G105,$U:$U,1,1),0)&gt;=N$2,"o","-"))</f>
        <v>-</v>
      </c>
      <c r="O105" s="42" t="str">
        <f>IF($F105&gt;=O$2,"-",IF(IFERROR(VLOOKUP($G105,$U:$U,1,1),0)&gt;=O$2,"o","-"))</f>
        <v>-</v>
      </c>
      <c r="P105" s="42" t="str">
        <f>IF($F105&gt;=P$2,"-",IF(IFERROR(VLOOKUP($G105,$U:$U,1,1),0)&gt;=P$2,"o","-"))</f>
        <v>-</v>
      </c>
      <c r="Q105" s="42" t="str">
        <f>IF($F105&gt;=Q$2,"-",IF(IFERROR(VLOOKUP($G105,$U:$U,1,1),0)&gt;=Q$2,"o","-"))</f>
        <v>-</v>
      </c>
      <c r="R105" s="42" t="str">
        <f>IF($F105&gt;=R$2,"-",IF(IFERROR(VLOOKUP($G105,$U:$U,1,1),0)&gt;=R$2,"o","-"))</f>
        <v>-</v>
      </c>
      <c r="S105" s="12">
        <f>IF(L105="o",50000,0)+IF(M105="o",100000,0)+IF(N105="o",200000,0)+IF(O105="o",400000,0)+IF(P105="o",600000,0)+IF(Q105="o",1000000,0)+IF(R105="o",2000000,0)</f>
        <v>50000</v>
      </c>
    </row>
    <row r="106" spans="2:19">
      <c r="B106" s="9">
        <v>101</v>
      </c>
      <c r="C106" s="10" t="s">
        <v>499</v>
      </c>
      <c r="D106" s="10" t="s">
        <v>734</v>
      </c>
      <c r="E106" s="82">
        <v>31700685</v>
      </c>
      <c r="F106" s="85">
        <f>IFERROR(VLOOKUP(D106,'1월'!D:F,3,0),)</f>
        <v>0</v>
      </c>
      <c r="G106" s="58">
        <v>2</v>
      </c>
      <c r="H106" s="58"/>
      <c r="I106" s="58"/>
      <c r="J106" s="58"/>
      <c r="K106" s="81"/>
      <c r="L106" s="42" t="str">
        <f>IF($F106&gt;=L$2,"-",IF(IFERROR(VLOOKUP($G106,$U:$U,1,1),0)&gt;=L$2,"o","-"))</f>
        <v>o</v>
      </c>
      <c r="M106" s="42" t="str">
        <f>IF($F106&gt;=M$2,"-",IF(IFERROR(VLOOKUP($G106,$U:$U,1,1),0)&gt;=M$2,"o","-"))</f>
        <v>-</v>
      </c>
      <c r="N106" s="42" t="str">
        <f>IF($F106&gt;=N$2,"-",IF(IFERROR(VLOOKUP($G106,$U:$U,1,1),0)&gt;=N$2,"o","-"))</f>
        <v>-</v>
      </c>
      <c r="O106" s="42" t="str">
        <f>IF($F106&gt;=O$2,"-",IF(IFERROR(VLOOKUP($G106,$U:$U,1,1),0)&gt;=O$2,"o","-"))</f>
        <v>-</v>
      </c>
      <c r="P106" s="42" t="str">
        <f>IF($F106&gt;=P$2,"-",IF(IFERROR(VLOOKUP($G106,$U:$U,1,1),0)&gt;=P$2,"o","-"))</f>
        <v>-</v>
      </c>
      <c r="Q106" s="42" t="str">
        <f>IF($F106&gt;=Q$2,"-",IF(IFERROR(VLOOKUP($G106,$U:$U,1,1),0)&gt;=Q$2,"o","-"))</f>
        <v>-</v>
      </c>
      <c r="R106" s="42" t="str">
        <f>IF($F106&gt;=R$2,"-",IF(IFERROR(VLOOKUP($G106,$U:$U,1,1),0)&gt;=R$2,"o","-"))</f>
        <v>-</v>
      </c>
      <c r="S106" s="12">
        <f>IF(L106="o",50000,0)+IF(M106="o",100000,0)+IF(N106="o",200000,0)+IF(O106="o",400000,0)+IF(P106="o",600000,0)+IF(Q106="o",1000000,0)+IF(R106="o",2000000,0)</f>
        <v>50000</v>
      </c>
    </row>
    <row r="107" spans="2:19">
      <c r="B107" s="9">
        <v>102</v>
      </c>
      <c r="C107" s="10" t="s">
        <v>500</v>
      </c>
      <c r="D107" s="10" t="s">
        <v>735</v>
      </c>
      <c r="E107" s="82">
        <v>40800684</v>
      </c>
      <c r="F107" s="85">
        <f>IFERROR(VLOOKUP(D107,'1월'!D:F,3,0),)</f>
        <v>0</v>
      </c>
      <c r="G107" s="58">
        <v>2</v>
      </c>
      <c r="H107" s="58"/>
      <c r="I107" s="58"/>
      <c r="J107" s="58"/>
      <c r="K107" s="81"/>
      <c r="L107" s="42" t="str">
        <f>IF($F107&gt;=L$2,"-",IF(IFERROR(VLOOKUP($G107,$U:$U,1,1),0)&gt;=L$2,"o","-"))</f>
        <v>o</v>
      </c>
      <c r="M107" s="42" t="str">
        <f>IF($F107&gt;=M$2,"-",IF(IFERROR(VLOOKUP($G107,$U:$U,1,1),0)&gt;=M$2,"o","-"))</f>
        <v>-</v>
      </c>
      <c r="N107" s="42" t="str">
        <f>IF($F107&gt;=N$2,"-",IF(IFERROR(VLOOKUP($G107,$U:$U,1,1),0)&gt;=N$2,"o","-"))</f>
        <v>-</v>
      </c>
      <c r="O107" s="42" t="str">
        <f>IF($F107&gt;=O$2,"-",IF(IFERROR(VLOOKUP($G107,$U:$U,1,1),0)&gt;=O$2,"o","-"))</f>
        <v>-</v>
      </c>
      <c r="P107" s="42" t="str">
        <f>IF($F107&gt;=P$2,"-",IF(IFERROR(VLOOKUP($G107,$U:$U,1,1),0)&gt;=P$2,"o","-"))</f>
        <v>-</v>
      </c>
      <c r="Q107" s="42" t="str">
        <f>IF($F107&gt;=Q$2,"-",IF(IFERROR(VLOOKUP($G107,$U:$U,1,1),0)&gt;=Q$2,"o","-"))</f>
        <v>-</v>
      </c>
      <c r="R107" s="42" t="str">
        <f>IF($F107&gt;=R$2,"-",IF(IFERROR(VLOOKUP($G107,$U:$U,1,1),0)&gt;=R$2,"o","-"))</f>
        <v>-</v>
      </c>
      <c r="S107" s="12">
        <f>IF(L107="o",50000,0)+IF(M107="o",100000,0)+IF(N107="o",200000,0)+IF(O107="o",400000,0)+IF(P107="o",600000,0)+IF(Q107="o",1000000,0)+IF(R107="o",2000000,0)</f>
        <v>50000</v>
      </c>
    </row>
    <row r="108" spans="2:19">
      <c r="B108" s="9">
        <v>103</v>
      </c>
      <c r="C108" s="10" t="s">
        <v>501</v>
      </c>
      <c r="D108" s="10" t="s">
        <v>736</v>
      </c>
      <c r="E108" s="82">
        <v>32406762</v>
      </c>
      <c r="F108" s="85">
        <f>IFERROR(VLOOKUP(D108,'1월'!D:F,3,0),)</f>
        <v>0</v>
      </c>
      <c r="G108" s="58">
        <v>2</v>
      </c>
      <c r="H108" s="58"/>
      <c r="I108" s="58"/>
      <c r="J108" s="58"/>
      <c r="K108" s="81"/>
      <c r="L108" s="42" t="str">
        <f>IF($F108&gt;=L$2,"-",IF(IFERROR(VLOOKUP($G108,$U:$U,1,1),0)&gt;=L$2,"o","-"))</f>
        <v>o</v>
      </c>
      <c r="M108" s="42" t="str">
        <f>IF($F108&gt;=M$2,"-",IF(IFERROR(VLOOKUP($G108,$U:$U,1,1),0)&gt;=M$2,"o","-"))</f>
        <v>-</v>
      </c>
      <c r="N108" s="42" t="str">
        <f>IF($F108&gt;=N$2,"-",IF(IFERROR(VLOOKUP($G108,$U:$U,1,1),0)&gt;=N$2,"o","-"))</f>
        <v>-</v>
      </c>
      <c r="O108" s="42" t="str">
        <f>IF($F108&gt;=O$2,"-",IF(IFERROR(VLOOKUP($G108,$U:$U,1,1),0)&gt;=O$2,"o","-"))</f>
        <v>-</v>
      </c>
      <c r="P108" s="42" t="str">
        <f>IF($F108&gt;=P$2,"-",IF(IFERROR(VLOOKUP($G108,$U:$U,1,1),0)&gt;=P$2,"o","-"))</f>
        <v>-</v>
      </c>
      <c r="Q108" s="42" t="str">
        <f>IF($F108&gt;=Q$2,"-",IF(IFERROR(VLOOKUP($G108,$U:$U,1,1),0)&gt;=Q$2,"o","-"))</f>
        <v>-</v>
      </c>
      <c r="R108" s="42" t="str">
        <f>IF($F108&gt;=R$2,"-",IF(IFERROR(VLOOKUP($G108,$U:$U,1,1),0)&gt;=R$2,"o","-"))</f>
        <v>-</v>
      </c>
      <c r="S108" s="12">
        <f>IF(L108="o",50000,0)+IF(M108="o",100000,0)+IF(N108="o",200000,0)+IF(O108="o",400000,0)+IF(P108="o",600000,0)+IF(Q108="o",1000000,0)+IF(R108="o",2000000,0)</f>
        <v>50000</v>
      </c>
    </row>
    <row r="109" spans="2:19">
      <c r="B109" s="9">
        <v>104</v>
      </c>
      <c r="C109" s="10" t="s">
        <v>502</v>
      </c>
      <c r="D109" s="10" t="s">
        <v>737</v>
      </c>
      <c r="E109" s="82">
        <v>31500128</v>
      </c>
      <c r="F109" s="85">
        <f>IFERROR(VLOOKUP(D109,'1월'!D:F,3,0),)</f>
        <v>0</v>
      </c>
      <c r="G109" s="58">
        <v>2</v>
      </c>
      <c r="H109" s="58"/>
      <c r="I109" s="58"/>
      <c r="J109" s="58"/>
      <c r="K109" s="81"/>
      <c r="L109" s="42" t="str">
        <f>IF($F109&gt;=L$2,"-",IF(IFERROR(VLOOKUP($G109,$U:$U,1,1),0)&gt;=L$2,"o","-"))</f>
        <v>o</v>
      </c>
      <c r="M109" s="42" t="str">
        <f>IF($F109&gt;=M$2,"-",IF(IFERROR(VLOOKUP($G109,$U:$U,1,1),0)&gt;=M$2,"o","-"))</f>
        <v>-</v>
      </c>
      <c r="N109" s="42" t="str">
        <f>IF($F109&gt;=N$2,"-",IF(IFERROR(VLOOKUP($G109,$U:$U,1,1),0)&gt;=N$2,"o","-"))</f>
        <v>-</v>
      </c>
      <c r="O109" s="42" t="str">
        <f>IF($F109&gt;=O$2,"-",IF(IFERROR(VLOOKUP($G109,$U:$U,1,1),0)&gt;=O$2,"o","-"))</f>
        <v>-</v>
      </c>
      <c r="P109" s="42" t="str">
        <f>IF($F109&gt;=P$2,"-",IF(IFERROR(VLOOKUP($G109,$U:$U,1,1),0)&gt;=P$2,"o","-"))</f>
        <v>-</v>
      </c>
      <c r="Q109" s="42" t="str">
        <f>IF($F109&gt;=Q$2,"-",IF(IFERROR(VLOOKUP($G109,$U:$U,1,1),0)&gt;=Q$2,"o","-"))</f>
        <v>-</v>
      </c>
      <c r="R109" s="42" t="str">
        <f>IF($F109&gt;=R$2,"-",IF(IFERROR(VLOOKUP($G109,$U:$U,1,1),0)&gt;=R$2,"o","-"))</f>
        <v>-</v>
      </c>
      <c r="S109" s="12">
        <f>IF(L109="o",50000,0)+IF(M109="o",100000,0)+IF(N109="o",200000,0)+IF(O109="o",400000,0)+IF(P109="o",600000,0)+IF(Q109="o",1000000,0)+IF(R109="o",2000000,0)</f>
        <v>50000</v>
      </c>
    </row>
    <row r="110" spans="2:19">
      <c r="B110" s="9">
        <v>105</v>
      </c>
      <c r="C110" s="10" t="s">
        <v>503</v>
      </c>
      <c r="D110" s="10" t="s">
        <v>738</v>
      </c>
      <c r="E110" s="82">
        <v>32001356</v>
      </c>
      <c r="F110" s="85">
        <f>IFERROR(VLOOKUP(D110,'1월'!D:F,3,0),)</f>
        <v>0</v>
      </c>
      <c r="G110" s="58">
        <v>2</v>
      </c>
      <c r="H110" s="58"/>
      <c r="I110" s="58"/>
      <c r="J110" s="58"/>
      <c r="K110" s="81"/>
      <c r="L110" s="42" t="str">
        <f>IF($F110&gt;=L$2,"-",IF(IFERROR(VLOOKUP($G110,$U:$U,1,1),0)&gt;=L$2,"o","-"))</f>
        <v>o</v>
      </c>
      <c r="M110" s="42" t="str">
        <f>IF($F110&gt;=M$2,"-",IF(IFERROR(VLOOKUP($G110,$U:$U,1,1),0)&gt;=M$2,"o","-"))</f>
        <v>-</v>
      </c>
      <c r="N110" s="42" t="str">
        <f>IF($F110&gt;=N$2,"-",IF(IFERROR(VLOOKUP($G110,$U:$U,1,1),0)&gt;=N$2,"o","-"))</f>
        <v>-</v>
      </c>
      <c r="O110" s="42" t="str">
        <f>IF($F110&gt;=O$2,"-",IF(IFERROR(VLOOKUP($G110,$U:$U,1,1),0)&gt;=O$2,"o","-"))</f>
        <v>-</v>
      </c>
      <c r="P110" s="42" t="str">
        <f>IF($F110&gt;=P$2,"-",IF(IFERROR(VLOOKUP($G110,$U:$U,1,1),0)&gt;=P$2,"o","-"))</f>
        <v>-</v>
      </c>
      <c r="Q110" s="42" t="str">
        <f>IF($F110&gt;=Q$2,"-",IF(IFERROR(VLOOKUP($G110,$U:$U,1,1),0)&gt;=Q$2,"o","-"))</f>
        <v>-</v>
      </c>
      <c r="R110" s="42" t="str">
        <f>IF($F110&gt;=R$2,"-",IF(IFERROR(VLOOKUP($G110,$U:$U,1,1),0)&gt;=R$2,"o","-"))</f>
        <v>-</v>
      </c>
      <c r="S110" s="12">
        <f>IF(L110="o",50000,0)+IF(M110="o",100000,0)+IF(N110="o",200000,0)+IF(O110="o",400000,0)+IF(P110="o",600000,0)+IF(Q110="o",1000000,0)+IF(R110="o",2000000,0)</f>
        <v>50000</v>
      </c>
    </row>
    <row r="111" spans="2:19">
      <c r="B111" s="9">
        <v>106</v>
      </c>
      <c r="C111" s="10" t="s">
        <v>504</v>
      </c>
      <c r="D111" s="10" t="s">
        <v>739</v>
      </c>
      <c r="E111" s="82">
        <v>42302450</v>
      </c>
      <c r="F111" s="85">
        <f>IFERROR(VLOOKUP(D111,'1월'!D:F,3,0),)</f>
        <v>0</v>
      </c>
      <c r="G111" s="58">
        <v>2</v>
      </c>
      <c r="H111" s="58"/>
      <c r="I111" s="58"/>
      <c r="J111" s="58"/>
      <c r="K111" s="81"/>
      <c r="L111" s="42" t="str">
        <f>IF($F111&gt;=L$2,"-",IF(IFERROR(VLOOKUP($G111,$U:$U,1,1),0)&gt;=L$2,"o","-"))</f>
        <v>o</v>
      </c>
      <c r="M111" s="42" t="str">
        <f>IF($F111&gt;=M$2,"-",IF(IFERROR(VLOOKUP($G111,$U:$U,1,1),0)&gt;=M$2,"o","-"))</f>
        <v>-</v>
      </c>
      <c r="N111" s="42" t="str">
        <f>IF($F111&gt;=N$2,"-",IF(IFERROR(VLOOKUP($G111,$U:$U,1,1),0)&gt;=N$2,"o","-"))</f>
        <v>-</v>
      </c>
      <c r="O111" s="42" t="str">
        <f>IF($F111&gt;=O$2,"-",IF(IFERROR(VLOOKUP($G111,$U:$U,1,1),0)&gt;=O$2,"o","-"))</f>
        <v>-</v>
      </c>
      <c r="P111" s="42" t="str">
        <f>IF($F111&gt;=P$2,"-",IF(IFERROR(VLOOKUP($G111,$U:$U,1,1),0)&gt;=P$2,"o","-"))</f>
        <v>-</v>
      </c>
      <c r="Q111" s="42" t="str">
        <f>IF($F111&gt;=Q$2,"-",IF(IFERROR(VLOOKUP($G111,$U:$U,1,1),0)&gt;=Q$2,"o","-"))</f>
        <v>-</v>
      </c>
      <c r="R111" s="42" t="str">
        <f>IF($F111&gt;=R$2,"-",IF(IFERROR(VLOOKUP($G111,$U:$U,1,1),0)&gt;=R$2,"o","-"))</f>
        <v>-</v>
      </c>
      <c r="S111" s="12">
        <f>IF(L111="o",50000,0)+IF(M111="o",100000,0)+IF(N111="o",200000,0)+IF(O111="o",400000,0)+IF(P111="o",600000,0)+IF(Q111="o",1000000,0)+IF(R111="o",2000000,0)</f>
        <v>50000</v>
      </c>
    </row>
    <row r="112" spans="2:19">
      <c r="B112" s="9">
        <v>107</v>
      </c>
      <c r="C112" s="10" t="s">
        <v>505</v>
      </c>
      <c r="D112" s="10" t="s">
        <v>740</v>
      </c>
      <c r="E112" s="82">
        <v>32001130</v>
      </c>
      <c r="F112" s="85">
        <f>IFERROR(VLOOKUP(D112,'1월'!D:F,3,0),)</f>
        <v>0</v>
      </c>
      <c r="G112" s="58">
        <v>2</v>
      </c>
      <c r="H112" s="58"/>
      <c r="I112" s="58"/>
      <c r="J112" s="58"/>
      <c r="K112" s="81"/>
      <c r="L112" s="42" t="str">
        <f>IF($F112&gt;=L$2,"-",IF(IFERROR(VLOOKUP($G112,$U:$U,1,1),0)&gt;=L$2,"o","-"))</f>
        <v>o</v>
      </c>
      <c r="M112" s="42" t="str">
        <f>IF($F112&gt;=M$2,"-",IF(IFERROR(VLOOKUP($G112,$U:$U,1,1),0)&gt;=M$2,"o","-"))</f>
        <v>-</v>
      </c>
      <c r="N112" s="42" t="str">
        <f>IF($F112&gt;=N$2,"-",IF(IFERROR(VLOOKUP($G112,$U:$U,1,1),0)&gt;=N$2,"o","-"))</f>
        <v>-</v>
      </c>
      <c r="O112" s="42" t="str">
        <f>IF($F112&gt;=O$2,"-",IF(IFERROR(VLOOKUP($G112,$U:$U,1,1),0)&gt;=O$2,"o","-"))</f>
        <v>-</v>
      </c>
      <c r="P112" s="42" t="str">
        <f>IF($F112&gt;=P$2,"-",IF(IFERROR(VLOOKUP($G112,$U:$U,1,1),0)&gt;=P$2,"o","-"))</f>
        <v>-</v>
      </c>
      <c r="Q112" s="42" t="str">
        <f>IF($F112&gt;=Q$2,"-",IF(IFERROR(VLOOKUP($G112,$U:$U,1,1),0)&gt;=Q$2,"o","-"))</f>
        <v>-</v>
      </c>
      <c r="R112" s="42" t="str">
        <f>IF($F112&gt;=R$2,"-",IF(IFERROR(VLOOKUP($G112,$U:$U,1,1),0)&gt;=R$2,"o","-"))</f>
        <v>-</v>
      </c>
      <c r="S112" s="12">
        <f>IF(L112="o",50000,0)+IF(M112="o",100000,0)+IF(N112="o",200000,0)+IF(O112="o",400000,0)+IF(P112="o",600000,0)+IF(Q112="o",1000000,0)+IF(R112="o",2000000,0)</f>
        <v>50000</v>
      </c>
    </row>
    <row r="113" spans="2:19">
      <c r="B113" s="9">
        <v>108</v>
      </c>
      <c r="C113" s="10" t="s">
        <v>506</v>
      </c>
      <c r="D113" s="10" t="s">
        <v>741</v>
      </c>
      <c r="E113" s="82">
        <v>41400083</v>
      </c>
      <c r="F113" s="85">
        <f>IFERROR(VLOOKUP(D113,'1월'!D:F,3,0),)</f>
        <v>0</v>
      </c>
      <c r="G113" s="58">
        <v>2</v>
      </c>
      <c r="H113" s="58"/>
      <c r="I113" s="58"/>
      <c r="J113" s="58"/>
      <c r="K113" s="81"/>
      <c r="L113" s="42" t="str">
        <f>IF($F113&gt;=L$2,"-",IF(IFERROR(VLOOKUP($G113,$U:$U,1,1),0)&gt;=L$2,"o","-"))</f>
        <v>o</v>
      </c>
      <c r="M113" s="42" t="str">
        <f>IF($F113&gt;=M$2,"-",IF(IFERROR(VLOOKUP($G113,$U:$U,1,1),0)&gt;=M$2,"o","-"))</f>
        <v>-</v>
      </c>
      <c r="N113" s="42" t="str">
        <f>IF($F113&gt;=N$2,"-",IF(IFERROR(VLOOKUP($G113,$U:$U,1,1),0)&gt;=N$2,"o","-"))</f>
        <v>-</v>
      </c>
      <c r="O113" s="42" t="str">
        <f>IF($F113&gt;=O$2,"-",IF(IFERROR(VLOOKUP($G113,$U:$U,1,1),0)&gt;=O$2,"o","-"))</f>
        <v>-</v>
      </c>
      <c r="P113" s="42" t="str">
        <f>IF($F113&gt;=P$2,"-",IF(IFERROR(VLOOKUP($G113,$U:$U,1,1),0)&gt;=P$2,"o","-"))</f>
        <v>-</v>
      </c>
      <c r="Q113" s="42" t="str">
        <f>IF($F113&gt;=Q$2,"-",IF(IFERROR(VLOOKUP($G113,$U:$U,1,1),0)&gt;=Q$2,"o","-"))</f>
        <v>-</v>
      </c>
      <c r="R113" s="42" t="str">
        <f>IF($F113&gt;=R$2,"-",IF(IFERROR(VLOOKUP($G113,$U:$U,1,1),0)&gt;=R$2,"o","-"))</f>
        <v>-</v>
      </c>
      <c r="S113" s="12">
        <f>IF(L113="o",50000,0)+IF(M113="o",100000,0)+IF(N113="o",200000,0)+IF(O113="o",400000,0)+IF(P113="o",600000,0)+IF(Q113="o",1000000,0)+IF(R113="o",2000000,0)</f>
        <v>50000</v>
      </c>
    </row>
    <row r="114" spans="2:19">
      <c r="B114" s="9">
        <v>109</v>
      </c>
      <c r="C114" s="10" t="s">
        <v>507</v>
      </c>
      <c r="D114" s="10" t="s">
        <v>742</v>
      </c>
      <c r="E114" s="82">
        <v>32406573</v>
      </c>
      <c r="F114" s="85">
        <f>IFERROR(VLOOKUP(D114,'1월'!D:F,3,0),)</f>
        <v>0</v>
      </c>
      <c r="G114" s="58">
        <v>2</v>
      </c>
      <c r="H114" s="58"/>
      <c r="I114" s="58"/>
      <c r="J114" s="58"/>
      <c r="K114" s="81"/>
      <c r="L114" s="42" t="str">
        <f>IF($F114&gt;=L$2,"-",IF(IFERROR(VLOOKUP($G114,$U:$U,1,1),0)&gt;=L$2,"o","-"))</f>
        <v>o</v>
      </c>
      <c r="M114" s="42" t="str">
        <f>IF($F114&gt;=M$2,"-",IF(IFERROR(VLOOKUP($G114,$U:$U,1,1),0)&gt;=M$2,"o","-"))</f>
        <v>-</v>
      </c>
      <c r="N114" s="42" t="str">
        <f>IF($F114&gt;=N$2,"-",IF(IFERROR(VLOOKUP($G114,$U:$U,1,1),0)&gt;=N$2,"o","-"))</f>
        <v>-</v>
      </c>
      <c r="O114" s="42" t="str">
        <f>IF($F114&gt;=O$2,"-",IF(IFERROR(VLOOKUP($G114,$U:$U,1,1),0)&gt;=O$2,"o","-"))</f>
        <v>-</v>
      </c>
      <c r="P114" s="42" t="str">
        <f>IF($F114&gt;=P$2,"-",IF(IFERROR(VLOOKUP($G114,$U:$U,1,1),0)&gt;=P$2,"o","-"))</f>
        <v>-</v>
      </c>
      <c r="Q114" s="42" t="str">
        <f>IF($F114&gt;=Q$2,"-",IF(IFERROR(VLOOKUP($G114,$U:$U,1,1),0)&gt;=Q$2,"o","-"))</f>
        <v>-</v>
      </c>
      <c r="R114" s="42" t="str">
        <f>IF($F114&gt;=R$2,"-",IF(IFERROR(VLOOKUP($G114,$U:$U,1,1),0)&gt;=R$2,"o","-"))</f>
        <v>-</v>
      </c>
      <c r="S114" s="12">
        <f>IF(L114="o",50000,0)+IF(M114="o",100000,0)+IF(N114="o",200000,0)+IF(O114="o",400000,0)+IF(P114="o",600000,0)+IF(Q114="o",1000000,0)+IF(R114="o",2000000,0)</f>
        <v>50000</v>
      </c>
    </row>
    <row r="115" spans="2:19">
      <c r="B115" s="9">
        <v>110</v>
      </c>
      <c r="C115" s="10" t="s">
        <v>508</v>
      </c>
      <c r="D115" s="10" t="s">
        <v>743</v>
      </c>
      <c r="E115" s="82">
        <v>41900772</v>
      </c>
      <c r="F115" s="85">
        <f>IFERROR(VLOOKUP(D115,'1월'!D:F,3,0),)</f>
        <v>0</v>
      </c>
      <c r="G115" s="58">
        <v>2</v>
      </c>
      <c r="H115" s="58"/>
      <c r="I115" s="58"/>
      <c r="J115" s="58"/>
      <c r="K115" s="81"/>
      <c r="L115" s="42" t="str">
        <f>IF($F115&gt;=L$2,"-",IF(IFERROR(VLOOKUP($G115,$U:$U,1,1),0)&gt;=L$2,"o","-"))</f>
        <v>o</v>
      </c>
      <c r="M115" s="42" t="str">
        <f>IF($F115&gt;=M$2,"-",IF(IFERROR(VLOOKUP($G115,$U:$U,1,1),0)&gt;=M$2,"o","-"))</f>
        <v>-</v>
      </c>
      <c r="N115" s="42" t="str">
        <f>IF($F115&gt;=N$2,"-",IF(IFERROR(VLOOKUP($G115,$U:$U,1,1),0)&gt;=N$2,"o","-"))</f>
        <v>-</v>
      </c>
      <c r="O115" s="42" t="str">
        <f>IF($F115&gt;=O$2,"-",IF(IFERROR(VLOOKUP($G115,$U:$U,1,1),0)&gt;=O$2,"o","-"))</f>
        <v>-</v>
      </c>
      <c r="P115" s="42" t="str">
        <f>IF($F115&gt;=P$2,"-",IF(IFERROR(VLOOKUP($G115,$U:$U,1,1),0)&gt;=P$2,"o","-"))</f>
        <v>-</v>
      </c>
      <c r="Q115" s="42" t="str">
        <f>IF($F115&gt;=Q$2,"-",IF(IFERROR(VLOOKUP($G115,$U:$U,1,1),0)&gt;=Q$2,"o","-"))</f>
        <v>-</v>
      </c>
      <c r="R115" s="42" t="str">
        <f>IF($F115&gt;=R$2,"-",IF(IFERROR(VLOOKUP($G115,$U:$U,1,1),0)&gt;=R$2,"o","-"))</f>
        <v>-</v>
      </c>
      <c r="S115" s="12">
        <f>IF(L115="o",50000,0)+IF(M115="o",100000,0)+IF(N115="o",200000,0)+IF(O115="o",400000,0)+IF(P115="o",600000,0)+IF(Q115="o",1000000,0)+IF(R115="o",2000000,0)</f>
        <v>50000</v>
      </c>
    </row>
    <row r="116" spans="2:19">
      <c r="B116" s="9">
        <v>111</v>
      </c>
      <c r="C116" s="10" t="s">
        <v>509</v>
      </c>
      <c r="D116" s="10" t="s">
        <v>744</v>
      </c>
      <c r="E116" s="82">
        <v>31501226</v>
      </c>
      <c r="F116" s="85">
        <f>IFERROR(VLOOKUP(D116,'1월'!D:F,3,0),)</f>
        <v>0</v>
      </c>
      <c r="G116" s="58">
        <v>2</v>
      </c>
      <c r="H116" s="58"/>
      <c r="I116" s="58"/>
      <c r="J116" s="58"/>
      <c r="K116" s="81"/>
      <c r="L116" s="42" t="str">
        <f>IF($F116&gt;=L$2,"-",IF(IFERROR(VLOOKUP($G116,$U:$U,1,1),0)&gt;=L$2,"o","-"))</f>
        <v>o</v>
      </c>
      <c r="M116" s="42" t="str">
        <f>IF($F116&gt;=M$2,"-",IF(IFERROR(VLOOKUP($G116,$U:$U,1,1),0)&gt;=M$2,"o","-"))</f>
        <v>-</v>
      </c>
      <c r="N116" s="42" t="str">
        <f>IF($F116&gt;=N$2,"-",IF(IFERROR(VLOOKUP($G116,$U:$U,1,1),0)&gt;=N$2,"o","-"))</f>
        <v>-</v>
      </c>
      <c r="O116" s="42" t="str">
        <f>IF($F116&gt;=O$2,"-",IF(IFERROR(VLOOKUP($G116,$U:$U,1,1),0)&gt;=O$2,"o","-"))</f>
        <v>-</v>
      </c>
      <c r="P116" s="42" t="str">
        <f>IF($F116&gt;=P$2,"-",IF(IFERROR(VLOOKUP($G116,$U:$U,1,1),0)&gt;=P$2,"o","-"))</f>
        <v>-</v>
      </c>
      <c r="Q116" s="42" t="str">
        <f>IF($F116&gt;=Q$2,"-",IF(IFERROR(VLOOKUP($G116,$U:$U,1,1),0)&gt;=Q$2,"o","-"))</f>
        <v>-</v>
      </c>
      <c r="R116" s="42" t="str">
        <f>IF($F116&gt;=R$2,"-",IF(IFERROR(VLOOKUP($G116,$U:$U,1,1),0)&gt;=R$2,"o","-"))</f>
        <v>-</v>
      </c>
      <c r="S116" s="12">
        <f>IF(L116="o",50000,0)+IF(M116="o",100000,0)+IF(N116="o",200000,0)+IF(O116="o",400000,0)+IF(P116="o",600000,0)+IF(Q116="o",1000000,0)+IF(R116="o",2000000,0)</f>
        <v>50000</v>
      </c>
    </row>
    <row r="117" spans="2:19">
      <c r="B117" s="9">
        <v>112</v>
      </c>
      <c r="C117" s="10" t="s">
        <v>510</v>
      </c>
      <c r="D117" s="10" t="s">
        <v>745</v>
      </c>
      <c r="E117" s="82">
        <v>40717588</v>
      </c>
      <c r="F117" s="85">
        <f>IFERROR(VLOOKUP(D117,'1월'!D:F,3,0),)</f>
        <v>0</v>
      </c>
      <c r="G117" s="58">
        <v>2</v>
      </c>
      <c r="H117" s="58"/>
      <c r="I117" s="58"/>
      <c r="J117" s="58"/>
      <c r="K117" s="81"/>
      <c r="L117" s="42" t="str">
        <f>IF($F117&gt;=L$2,"-",IF(IFERROR(VLOOKUP($G117,$U:$U,1,1),0)&gt;=L$2,"o","-"))</f>
        <v>o</v>
      </c>
      <c r="M117" s="42" t="str">
        <f>IF($F117&gt;=M$2,"-",IF(IFERROR(VLOOKUP($G117,$U:$U,1,1),0)&gt;=M$2,"o","-"))</f>
        <v>-</v>
      </c>
      <c r="N117" s="42" t="str">
        <f>IF($F117&gt;=N$2,"-",IF(IFERROR(VLOOKUP($G117,$U:$U,1,1),0)&gt;=N$2,"o","-"))</f>
        <v>-</v>
      </c>
      <c r="O117" s="42" t="str">
        <f>IF($F117&gt;=O$2,"-",IF(IFERROR(VLOOKUP($G117,$U:$U,1,1),0)&gt;=O$2,"o","-"))</f>
        <v>-</v>
      </c>
      <c r="P117" s="42" t="str">
        <f>IF($F117&gt;=P$2,"-",IF(IFERROR(VLOOKUP($G117,$U:$U,1,1),0)&gt;=P$2,"o","-"))</f>
        <v>-</v>
      </c>
      <c r="Q117" s="42" t="str">
        <f>IF($F117&gt;=Q$2,"-",IF(IFERROR(VLOOKUP($G117,$U:$U,1,1),0)&gt;=Q$2,"o","-"))</f>
        <v>-</v>
      </c>
      <c r="R117" s="42" t="str">
        <f>IF($F117&gt;=R$2,"-",IF(IFERROR(VLOOKUP($G117,$U:$U,1,1),0)&gt;=R$2,"o","-"))</f>
        <v>-</v>
      </c>
      <c r="S117" s="12">
        <f>IF(L117="o",50000,0)+IF(M117="o",100000,0)+IF(N117="o",200000,0)+IF(O117="o",400000,0)+IF(P117="o",600000,0)+IF(Q117="o",1000000,0)+IF(R117="o",2000000,0)</f>
        <v>50000</v>
      </c>
    </row>
    <row r="118" spans="2:19">
      <c r="B118" s="9">
        <v>113</v>
      </c>
      <c r="C118" s="10" t="s">
        <v>511</v>
      </c>
      <c r="D118" s="10" t="s">
        <v>746</v>
      </c>
      <c r="E118" s="82">
        <v>32201787</v>
      </c>
      <c r="F118" s="85">
        <f>IFERROR(VLOOKUP(D118,'1월'!D:F,3,0),)</f>
        <v>0</v>
      </c>
      <c r="G118" s="58">
        <v>2</v>
      </c>
      <c r="H118" s="58"/>
      <c r="I118" s="58"/>
      <c r="J118" s="58"/>
      <c r="K118" s="81"/>
      <c r="L118" s="42" t="str">
        <f>IF($F118&gt;=L$2,"-",IF(IFERROR(VLOOKUP($G118,$U:$U,1,1),0)&gt;=L$2,"o","-"))</f>
        <v>o</v>
      </c>
      <c r="M118" s="42" t="str">
        <f>IF($F118&gt;=M$2,"-",IF(IFERROR(VLOOKUP($G118,$U:$U,1,1),0)&gt;=M$2,"o","-"))</f>
        <v>-</v>
      </c>
      <c r="N118" s="42" t="str">
        <f>IF($F118&gt;=N$2,"-",IF(IFERROR(VLOOKUP($G118,$U:$U,1,1),0)&gt;=N$2,"o","-"))</f>
        <v>-</v>
      </c>
      <c r="O118" s="42" t="str">
        <f>IF($F118&gt;=O$2,"-",IF(IFERROR(VLOOKUP($G118,$U:$U,1,1),0)&gt;=O$2,"o","-"))</f>
        <v>-</v>
      </c>
      <c r="P118" s="42" t="str">
        <f>IF($F118&gt;=P$2,"-",IF(IFERROR(VLOOKUP($G118,$U:$U,1,1),0)&gt;=P$2,"o","-"))</f>
        <v>-</v>
      </c>
      <c r="Q118" s="42" t="str">
        <f>IF($F118&gt;=Q$2,"-",IF(IFERROR(VLOOKUP($G118,$U:$U,1,1),0)&gt;=Q$2,"o","-"))</f>
        <v>-</v>
      </c>
      <c r="R118" s="42" t="str">
        <f>IF($F118&gt;=R$2,"-",IF(IFERROR(VLOOKUP($G118,$U:$U,1,1),0)&gt;=R$2,"o","-"))</f>
        <v>-</v>
      </c>
      <c r="S118" s="12">
        <f>IF(L118="o",50000,0)+IF(M118="o",100000,0)+IF(N118="o",200000,0)+IF(O118="o",400000,0)+IF(P118="o",600000,0)+IF(Q118="o",1000000,0)+IF(R118="o",2000000,0)</f>
        <v>50000</v>
      </c>
    </row>
    <row r="119" spans="2:19">
      <c r="B119" s="9">
        <v>114</v>
      </c>
      <c r="C119" s="10" t="s">
        <v>512</v>
      </c>
      <c r="D119" s="10" t="s">
        <v>747</v>
      </c>
      <c r="E119" s="82">
        <v>32406564</v>
      </c>
      <c r="F119" s="85">
        <f>IFERROR(VLOOKUP(D119,'1월'!D:F,3,0),)</f>
        <v>0</v>
      </c>
      <c r="G119" s="58">
        <v>2</v>
      </c>
      <c r="H119" s="58"/>
      <c r="I119" s="58"/>
      <c r="J119" s="58"/>
      <c r="K119" s="81"/>
      <c r="L119" s="42" t="str">
        <f>IF($F119&gt;=L$2,"-",IF(IFERROR(VLOOKUP($G119,$U:$U,1,1),0)&gt;=L$2,"o","-"))</f>
        <v>o</v>
      </c>
      <c r="M119" s="42" t="str">
        <f>IF($F119&gt;=M$2,"-",IF(IFERROR(VLOOKUP($G119,$U:$U,1,1),0)&gt;=M$2,"o","-"))</f>
        <v>-</v>
      </c>
      <c r="N119" s="42" t="str">
        <f>IF($F119&gt;=N$2,"-",IF(IFERROR(VLOOKUP($G119,$U:$U,1,1),0)&gt;=N$2,"o","-"))</f>
        <v>-</v>
      </c>
      <c r="O119" s="42" t="str">
        <f>IF($F119&gt;=O$2,"-",IF(IFERROR(VLOOKUP($G119,$U:$U,1,1),0)&gt;=O$2,"o","-"))</f>
        <v>-</v>
      </c>
      <c r="P119" s="42" t="str">
        <f>IF($F119&gt;=P$2,"-",IF(IFERROR(VLOOKUP($G119,$U:$U,1,1),0)&gt;=P$2,"o","-"))</f>
        <v>-</v>
      </c>
      <c r="Q119" s="42" t="str">
        <f>IF($F119&gt;=Q$2,"-",IF(IFERROR(VLOOKUP($G119,$U:$U,1,1),0)&gt;=Q$2,"o","-"))</f>
        <v>-</v>
      </c>
      <c r="R119" s="42" t="str">
        <f>IF($F119&gt;=R$2,"-",IF(IFERROR(VLOOKUP($G119,$U:$U,1,1),0)&gt;=R$2,"o","-"))</f>
        <v>-</v>
      </c>
      <c r="S119" s="12">
        <f>IF(L119="o",50000,0)+IF(M119="o",100000,0)+IF(N119="o",200000,0)+IF(O119="o",400000,0)+IF(P119="o",600000,0)+IF(Q119="o",1000000,0)+IF(R119="o",2000000,0)</f>
        <v>50000</v>
      </c>
    </row>
    <row r="120" spans="2:19">
      <c r="B120" s="9">
        <v>115</v>
      </c>
      <c r="C120" s="10" t="s">
        <v>513</v>
      </c>
      <c r="D120" s="10" t="s">
        <v>748</v>
      </c>
      <c r="E120" s="82">
        <v>42402477</v>
      </c>
      <c r="F120" s="85">
        <f>IFERROR(VLOOKUP(D120,'1월'!D:F,3,0),)</f>
        <v>0</v>
      </c>
      <c r="G120" s="58">
        <v>2</v>
      </c>
      <c r="H120" s="58"/>
      <c r="I120" s="58"/>
      <c r="J120" s="58"/>
      <c r="K120" s="81"/>
      <c r="L120" s="42" t="str">
        <f>IF($F120&gt;=L$2,"-",IF(IFERROR(VLOOKUP($G120,$U:$U,1,1),0)&gt;=L$2,"o","-"))</f>
        <v>o</v>
      </c>
      <c r="M120" s="42" t="str">
        <f>IF($F120&gt;=M$2,"-",IF(IFERROR(VLOOKUP($G120,$U:$U,1,1),0)&gt;=M$2,"o","-"))</f>
        <v>-</v>
      </c>
      <c r="N120" s="42" t="str">
        <f>IF($F120&gt;=N$2,"-",IF(IFERROR(VLOOKUP($G120,$U:$U,1,1),0)&gt;=N$2,"o","-"))</f>
        <v>-</v>
      </c>
      <c r="O120" s="42" t="str">
        <f>IF($F120&gt;=O$2,"-",IF(IFERROR(VLOOKUP($G120,$U:$U,1,1),0)&gt;=O$2,"o","-"))</f>
        <v>-</v>
      </c>
      <c r="P120" s="42" t="str">
        <f>IF($F120&gt;=P$2,"-",IF(IFERROR(VLOOKUP($G120,$U:$U,1,1),0)&gt;=P$2,"o","-"))</f>
        <v>-</v>
      </c>
      <c r="Q120" s="42" t="str">
        <f>IF($F120&gt;=Q$2,"-",IF(IFERROR(VLOOKUP($G120,$U:$U,1,1),0)&gt;=Q$2,"o","-"))</f>
        <v>-</v>
      </c>
      <c r="R120" s="42" t="str">
        <f>IF($F120&gt;=R$2,"-",IF(IFERROR(VLOOKUP($G120,$U:$U,1,1),0)&gt;=R$2,"o","-"))</f>
        <v>-</v>
      </c>
      <c r="S120" s="12">
        <f>IF(L120="o",50000,0)+IF(M120="o",100000,0)+IF(N120="o",200000,0)+IF(O120="o",400000,0)+IF(P120="o",600000,0)+IF(Q120="o",1000000,0)+IF(R120="o",2000000,0)</f>
        <v>50000</v>
      </c>
    </row>
    <row r="121" spans="2:19">
      <c r="B121" s="9">
        <v>116</v>
      </c>
      <c r="C121" s="10" t="s">
        <v>498</v>
      </c>
      <c r="D121" s="10" t="s">
        <v>749</v>
      </c>
      <c r="E121" s="82">
        <v>41806605</v>
      </c>
      <c r="F121" s="85">
        <f>IFERROR(VLOOKUP(D121,'1월'!D:F,3,0),)</f>
        <v>0</v>
      </c>
      <c r="G121" s="58">
        <v>2</v>
      </c>
      <c r="H121" s="58"/>
      <c r="I121" s="58"/>
      <c r="J121" s="58"/>
      <c r="K121" s="81"/>
      <c r="L121" s="42" t="str">
        <f>IF($F121&gt;=L$2,"-",IF(IFERROR(VLOOKUP($G121,$U:$U,1,1),0)&gt;=L$2,"o","-"))</f>
        <v>o</v>
      </c>
      <c r="M121" s="42" t="str">
        <f>IF($F121&gt;=M$2,"-",IF(IFERROR(VLOOKUP($G121,$U:$U,1,1),0)&gt;=M$2,"o","-"))</f>
        <v>-</v>
      </c>
      <c r="N121" s="42" t="str">
        <f>IF($F121&gt;=N$2,"-",IF(IFERROR(VLOOKUP($G121,$U:$U,1,1),0)&gt;=N$2,"o","-"))</f>
        <v>-</v>
      </c>
      <c r="O121" s="42" t="str">
        <f>IF($F121&gt;=O$2,"-",IF(IFERROR(VLOOKUP($G121,$U:$U,1,1),0)&gt;=O$2,"o","-"))</f>
        <v>-</v>
      </c>
      <c r="P121" s="42" t="str">
        <f>IF($F121&gt;=P$2,"-",IF(IFERROR(VLOOKUP($G121,$U:$U,1,1),0)&gt;=P$2,"o","-"))</f>
        <v>-</v>
      </c>
      <c r="Q121" s="42" t="str">
        <f>IF($F121&gt;=Q$2,"-",IF(IFERROR(VLOOKUP($G121,$U:$U,1,1),0)&gt;=Q$2,"o","-"))</f>
        <v>-</v>
      </c>
      <c r="R121" s="42" t="str">
        <f>IF($F121&gt;=R$2,"-",IF(IFERROR(VLOOKUP($G121,$U:$U,1,1),0)&gt;=R$2,"o","-"))</f>
        <v>-</v>
      </c>
      <c r="S121" s="12">
        <f>IF(L121="o",50000,0)+IF(M121="o",100000,0)+IF(N121="o",200000,0)+IF(O121="o",400000,0)+IF(P121="o",600000,0)+IF(Q121="o",1000000,0)+IF(R121="o",2000000,0)</f>
        <v>50000</v>
      </c>
    </row>
    <row r="122" spans="2:19">
      <c r="B122" s="9">
        <v>117</v>
      </c>
      <c r="C122" s="10" t="s">
        <v>514</v>
      </c>
      <c r="D122" s="10" t="s">
        <v>750</v>
      </c>
      <c r="E122" s="82">
        <v>41307708</v>
      </c>
      <c r="F122" s="85">
        <f>IFERROR(VLOOKUP(D122,'1월'!D:F,3,0),)</f>
        <v>0</v>
      </c>
      <c r="G122" s="58">
        <v>2</v>
      </c>
      <c r="H122" s="58"/>
      <c r="I122" s="58"/>
      <c r="J122" s="58"/>
      <c r="K122" s="81"/>
      <c r="L122" s="42" t="str">
        <f>IF($F122&gt;=L$2,"-",IF(IFERROR(VLOOKUP($G122,$U:$U,1,1),0)&gt;=L$2,"o","-"))</f>
        <v>o</v>
      </c>
      <c r="M122" s="42" t="str">
        <f>IF($F122&gt;=M$2,"-",IF(IFERROR(VLOOKUP($G122,$U:$U,1,1),0)&gt;=M$2,"o","-"))</f>
        <v>-</v>
      </c>
      <c r="N122" s="42" t="str">
        <f>IF($F122&gt;=N$2,"-",IF(IFERROR(VLOOKUP($G122,$U:$U,1,1),0)&gt;=N$2,"o","-"))</f>
        <v>-</v>
      </c>
      <c r="O122" s="42" t="str">
        <f>IF($F122&gt;=O$2,"-",IF(IFERROR(VLOOKUP($G122,$U:$U,1,1),0)&gt;=O$2,"o","-"))</f>
        <v>-</v>
      </c>
      <c r="P122" s="42" t="str">
        <f>IF($F122&gt;=P$2,"-",IF(IFERROR(VLOOKUP($G122,$U:$U,1,1),0)&gt;=P$2,"o","-"))</f>
        <v>-</v>
      </c>
      <c r="Q122" s="42" t="str">
        <f>IF($F122&gt;=Q$2,"-",IF(IFERROR(VLOOKUP($G122,$U:$U,1,1),0)&gt;=Q$2,"o","-"))</f>
        <v>-</v>
      </c>
      <c r="R122" s="42" t="str">
        <f>IF($F122&gt;=R$2,"-",IF(IFERROR(VLOOKUP($G122,$U:$U,1,1),0)&gt;=R$2,"o","-"))</f>
        <v>-</v>
      </c>
      <c r="S122" s="12">
        <f>IF(L122="o",50000,0)+IF(M122="o",100000,0)+IF(N122="o",200000,0)+IF(O122="o",400000,0)+IF(P122="o",600000,0)+IF(Q122="o",1000000,0)+IF(R122="o",2000000,0)</f>
        <v>50000</v>
      </c>
    </row>
    <row r="123" spans="2:19">
      <c r="B123" s="9">
        <v>118</v>
      </c>
      <c r="C123" s="10" t="s">
        <v>515</v>
      </c>
      <c r="D123" s="10" t="s">
        <v>751</v>
      </c>
      <c r="E123" s="82">
        <v>31804527</v>
      </c>
      <c r="F123" s="85">
        <f>IFERROR(VLOOKUP(D123,'1월'!D:F,3,0),)</f>
        <v>0</v>
      </c>
      <c r="G123" s="58">
        <v>2</v>
      </c>
      <c r="H123" s="58"/>
      <c r="I123" s="58"/>
      <c r="J123" s="58"/>
      <c r="K123" s="81"/>
      <c r="L123" s="42" t="str">
        <f>IF($F123&gt;=L$2,"-",IF(IFERROR(VLOOKUP($G123,$U:$U,1,1),0)&gt;=L$2,"o","-"))</f>
        <v>o</v>
      </c>
      <c r="M123" s="42" t="str">
        <f>IF($F123&gt;=M$2,"-",IF(IFERROR(VLOOKUP($G123,$U:$U,1,1),0)&gt;=M$2,"o","-"))</f>
        <v>-</v>
      </c>
      <c r="N123" s="42" t="str">
        <f>IF($F123&gt;=N$2,"-",IF(IFERROR(VLOOKUP($G123,$U:$U,1,1),0)&gt;=N$2,"o","-"))</f>
        <v>-</v>
      </c>
      <c r="O123" s="42" t="str">
        <f>IF($F123&gt;=O$2,"-",IF(IFERROR(VLOOKUP($G123,$U:$U,1,1),0)&gt;=O$2,"o","-"))</f>
        <v>-</v>
      </c>
      <c r="P123" s="42" t="str">
        <f>IF($F123&gt;=P$2,"-",IF(IFERROR(VLOOKUP($G123,$U:$U,1,1),0)&gt;=P$2,"o","-"))</f>
        <v>-</v>
      </c>
      <c r="Q123" s="42" t="str">
        <f>IF($F123&gt;=Q$2,"-",IF(IFERROR(VLOOKUP($G123,$U:$U,1,1),0)&gt;=Q$2,"o","-"))</f>
        <v>-</v>
      </c>
      <c r="R123" s="42" t="str">
        <f>IF($F123&gt;=R$2,"-",IF(IFERROR(VLOOKUP($G123,$U:$U,1,1),0)&gt;=R$2,"o","-"))</f>
        <v>-</v>
      </c>
      <c r="S123" s="12">
        <f>IF(L123="o",50000,0)+IF(M123="o",100000,0)+IF(N123="o",200000,0)+IF(O123="o",400000,0)+IF(P123="o",600000,0)+IF(Q123="o",1000000,0)+IF(R123="o",2000000,0)</f>
        <v>50000</v>
      </c>
    </row>
    <row r="124" spans="2:19">
      <c r="B124" s="9">
        <v>119</v>
      </c>
      <c r="C124" s="10" t="s">
        <v>516</v>
      </c>
      <c r="D124" s="10" t="s">
        <v>752</v>
      </c>
      <c r="E124" s="82">
        <v>42402161</v>
      </c>
      <c r="F124" s="85">
        <f>IFERROR(VLOOKUP(D124,'1월'!D:F,3,0),)</f>
        <v>0</v>
      </c>
      <c r="G124" s="58">
        <v>2</v>
      </c>
      <c r="H124" s="58"/>
      <c r="I124" s="58"/>
      <c r="J124" s="58"/>
      <c r="K124" s="81"/>
      <c r="L124" s="42" t="str">
        <f>IF($F124&gt;=L$2,"-",IF(IFERROR(VLOOKUP($G124,$U:$U,1,1),0)&gt;=L$2,"o","-"))</f>
        <v>o</v>
      </c>
      <c r="M124" s="42" t="str">
        <f>IF($F124&gt;=M$2,"-",IF(IFERROR(VLOOKUP($G124,$U:$U,1,1),0)&gt;=M$2,"o","-"))</f>
        <v>-</v>
      </c>
      <c r="N124" s="42" t="str">
        <f>IF($F124&gt;=N$2,"-",IF(IFERROR(VLOOKUP($G124,$U:$U,1,1),0)&gt;=N$2,"o","-"))</f>
        <v>-</v>
      </c>
      <c r="O124" s="42" t="str">
        <f>IF($F124&gt;=O$2,"-",IF(IFERROR(VLOOKUP($G124,$U:$U,1,1),0)&gt;=O$2,"o","-"))</f>
        <v>-</v>
      </c>
      <c r="P124" s="42" t="str">
        <f>IF($F124&gt;=P$2,"-",IF(IFERROR(VLOOKUP($G124,$U:$U,1,1),0)&gt;=P$2,"o","-"))</f>
        <v>-</v>
      </c>
      <c r="Q124" s="42" t="str">
        <f>IF($F124&gt;=Q$2,"-",IF(IFERROR(VLOOKUP($G124,$U:$U,1,1),0)&gt;=Q$2,"o","-"))</f>
        <v>-</v>
      </c>
      <c r="R124" s="42" t="str">
        <f>IF($F124&gt;=R$2,"-",IF(IFERROR(VLOOKUP($G124,$U:$U,1,1),0)&gt;=R$2,"o","-"))</f>
        <v>-</v>
      </c>
      <c r="S124" s="12">
        <f>IF(L124="o",50000,0)+IF(M124="o",100000,0)+IF(N124="o",200000,0)+IF(O124="o",400000,0)+IF(P124="o",600000,0)+IF(Q124="o",1000000,0)+IF(R124="o",2000000,0)</f>
        <v>50000</v>
      </c>
    </row>
    <row r="125" spans="2:19">
      <c r="B125" s="9">
        <v>120</v>
      </c>
      <c r="C125" s="10" t="s">
        <v>517</v>
      </c>
      <c r="D125" s="10" t="s">
        <v>753</v>
      </c>
      <c r="E125" s="82">
        <v>40719090</v>
      </c>
      <c r="F125" s="85">
        <f>IFERROR(VLOOKUP(D125,'1월'!D:F,3,0),)</f>
        <v>0</v>
      </c>
      <c r="G125" s="58">
        <v>2</v>
      </c>
      <c r="H125" s="58"/>
      <c r="I125" s="58"/>
      <c r="J125" s="58"/>
      <c r="K125" s="81"/>
      <c r="L125" s="42" t="str">
        <f>IF($F125&gt;=L$2,"-",IF(IFERROR(VLOOKUP($G125,$U:$U,1,1),0)&gt;=L$2,"o","-"))</f>
        <v>o</v>
      </c>
      <c r="M125" s="42" t="str">
        <f>IF($F125&gt;=M$2,"-",IF(IFERROR(VLOOKUP($G125,$U:$U,1,1),0)&gt;=M$2,"o","-"))</f>
        <v>-</v>
      </c>
      <c r="N125" s="42" t="str">
        <f>IF($F125&gt;=N$2,"-",IF(IFERROR(VLOOKUP($G125,$U:$U,1,1),0)&gt;=N$2,"o","-"))</f>
        <v>-</v>
      </c>
      <c r="O125" s="42" t="str">
        <f>IF($F125&gt;=O$2,"-",IF(IFERROR(VLOOKUP($G125,$U:$U,1,1),0)&gt;=O$2,"o","-"))</f>
        <v>-</v>
      </c>
      <c r="P125" s="42" t="str">
        <f>IF($F125&gt;=P$2,"-",IF(IFERROR(VLOOKUP($G125,$U:$U,1,1),0)&gt;=P$2,"o","-"))</f>
        <v>-</v>
      </c>
      <c r="Q125" s="42" t="str">
        <f>IF($F125&gt;=Q$2,"-",IF(IFERROR(VLOOKUP($G125,$U:$U,1,1),0)&gt;=Q$2,"o","-"))</f>
        <v>-</v>
      </c>
      <c r="R125" s="42" t="str">
        <f>IF($F125&gt;=R$2,"-",IF(IFERROR(VLOOKUP($G125,$U:$U,1,1),0)&gt;=R$2,"o","-"))</f>
        <v>-</v>
      </c>
      <c r="S125" s="12">
        <f>IF(L125="o",50000,0)+IF(M125="o",100000,0)+IF(N125="o",200000,0)+IF(O125="o",400000,0)+IF(P125="o",600000,0)+IF(Q125="o",1000000,0)+IF(R125="o",2000000,0)</f>
        <v>50000</v>
      </c>
    </row>
    <row r="126" spans="2:19">
      <c r="B126" s="9">
        <v>121</v>
      </c>
      <c r="C126" s="10" t="s">
        <v>518</v>
      </c>
      <c r="D126" s="10" t="s">
        <v>754</v>
      </c>
      <c r="E126" s="82">
        <v>31903626</v>
      </c>
      <c r="F126" s="85">
        <f>IFERROR(VLOOKUP(D126,'1월'!D:F,3,0),)</f>
        <v>0</v>
      </c>
      <c r="G126" s="58">
        <v>2</v>
      </c>
      <c r="H126" s="58"/>
      <c r="I126" s="58"/>
      <c r="J126" s="58"/>
      <c r="K126" s="81"/>
      <c r="L126" s="42" t="str">
        <f>IF($F126&gt;=L$2,"-",IF(IFERROR(VLOOKUP($G126,$U:$U,1,1),0)&gt;=L$2,"o","-"))</f>
        <v>o</v>
      </c>
      <c r="M126" s="42" t="str">
        <f>IF($F126&gt;=M$2,"-",IF(IFERROR(VLOOKUP($G126,$U:$U,1,1),0)&gt;=M$2,"o","-"))</f>
        <v>-</v>
      </c>
      <c r="N126" s="42" t="str">
        <f>IF($F126&gt;=N$2,"-",IF(IFERROR(VLOOKUP($G126,$U:$U,1,1),0)&gt;=N$2,"o","-"))</f>
        <v>-</v>
      </c>
      <c r="O126" s="42" t="str">
        <f>IF($F126&gt;=O$2,"-",IF(IFERROR(VLOOKUP($G126,$U:$U,1,1),0)&gt;=O$2,"o","-"))</f>
        <v>-</v>
      </c>
      <c r="P126" s="42" t="str">
        <f>IF($F126&gt;=P$2,"-",IF(IFERROR(VLOOKUP($G126,$U:$U,1,1),0)&gt;=P$2,"o","-"))</f>
        <v>-</v>
      </c>
      <c r="Q126" s="42" t="str">
        <f>IF($F126&gt;=Q$2,"-",IF(IFERROR(VLOOKUP($G126,$U:$U,1,1),0)&gt;=Q$2,"o","-"))</f>
        <v>-</v>
      </c>
      <c r="R126" s="42" t="str">
        <f>IF($F126&gt;=R$2,"-",IF(IFERROR(VLOOKUP($G126,$U:$U,1,1),0)&gt;=R$2,"o","-"))</f>
        <v>-</v>
      </c>
      <c r="S126" s="12">
        <f>IF(L126="o",50000,0)+IF(M126="o",100000,0)+IF(N126="o",200000,0)+IF(O126="o",400000,0)+IF(P126="o",600000,0)+IF(Q126="o",1000000,0)+IF(R126="o",2000000,0)</f>
        <v>50000</v>
      </c>
    </row>
    <row r="127" spans="2:19">
      <c r="B127" s="9">
        <v>122</v>
      </c>
      <c r="C127" s="10" t="s">
        <v>519</v>
      </c>
      <c r="D127" s="10" t="s">
        <v>755</v>
      </c>
      <c r="E127" s="82">
        <v>31807993</v>
      </c>
      <c r="F127" s="85">
        <f>IFERROR(VLOOKUP(D127,'1월'!D:F,3,0),)</f>
        <v>0</v>
      </c>
      <c r="G127" s="58">
        <v>2</v>
      </c>
      <c r="H127" s="58"/>
      <c r="I127" s="58"/>
      <c r="J127" s="58"/>
      <c r="K127" s="81"/>
      <c r="L127" s="42" t="str">
        <f>IF($F127&gt;=L$2,"-",IF(IFERROR(VLOOKUP($G127,$U:$U,1,1),0)&gt;=L$2,"o","-"))</f>
        <v>o</v>
      </c>
      <c r="M127" s="42" t="str">
        <f>IF($F127&gt;=M$2,"-",IF(IFERROR(VLOOKUP($G127,$U:$U,1,1),0)&gt;=M$2,"o","-"))</f>
        <v>-</v>
      </c>
      <c r="N127" s="42" t="str">
        <f>IF($F127&gt;=N$2,"-",IF(IFERROR(VLOOKUP($G127,$U:$U,1,1),0)&gt;=N$2,"o","-"))</f>
        <v>-</v>
      </c>
      <c r="O127" s="42" t="str">
        <f>IF($F127&gt;=O$2,"-",IF(IFERROR(VLOOKUP($G127,$U:$U,1,1),0)&gt;=O$2,"o","-"))</f>
        <v>-</v>
      </c>
      <c r="P127" s="42" t="str">
        <f>IF($F127&gt;=P$2,"-",IF(IFERROR(VLOOKUP($G127,$U:$U,1,1),0)&gt;=P$2,"o","-"))</f>
        <v>-</v>
      </c>
      <c r="Q127" s="42" t="str">
        <f>IF($F127&gt;=Q$2,"-",IF(IFERROR(VLOOKUP($G127,$U:$U,1,1),0)&gt;=Q$2,"o","-"))</f>
        <v>-</v>
      </c>
      <c r="R127" s="42" t="str">
        <f>IF($F127&gt;=R$2,"-",IF(IFERROR(VLOOKUP($G127,$U:$U,1,1),0)&gt;=R$2,"o","-"))</f>
        <v>-</v>
      </c>
      <c r="S127" s="12">
        <f>IF(L127="o",50000,0)+IF(M127="o",100000,0)+IF(N127="o",200000,0)+IF(O127="o",400000,0)+IF(P127="o",600000,0)+IF(Q127="o",1000000,0)+IF(R127="o",2000000,0)</f>
        <v>50000</v>
      </c>
    </row>
    <row r="128" spans="2:19">
      <c r="B128" s="9">
        <v>123</v>
      </c>
      <c r="C128" s="10" t="s">
        <v>520</v>
      </c>
      <c r="D128" s="10" t="s">
        <v>756</v>
      </c>
      <c r="E128" s="82">
        <v>32406735</v>
      </c>
      <c r="F128" s="85">
        <f>IFERROR(VLOOKUP(D128,'1월'!D:F,3,0),)</f>
        <v>0</v>
      </c>
      <c r="G128" s="58">
        <v>2</v>
      </c>
      <c r="H128" s="58"/>
      <c r="I128" s="58"/>
      <c r="J128" s="58"/>
      <c r="K128" s="81"/>
      <c r="L128" s="42" t="str">
        <f>IF($F128&gt;=L$2,"-",IF(IFERROR(VLOOKUP($G128,$U:$U,1,1),0)&gt;=L$2,"o","-"))</f>
        <v>o</v>
      </c>
      <c r="M128" s="42" t="str">
        <f>IF($F128&gt;=M$2,"-",IF(IFERROR(VLOOKUP($G128,$U:$U,1,1),0)&gt;=M$2,"o","-"))</f>
        <v>-</v>
      </c>
      <c r="N128" s="42" t="str">
        <f>IF($F128&gt;=N$2,"-",IF(IFERROR(VLOOKUP($G128,$U:$U,1,1),0)&gt;=N$2,"o","-"))</f>
        <v>-</v>
      </c>
      <c r="O128" s="42" t="str">
        <f>IF($F128&gt;=O$2,"-",IF(IFERROR(VLOOKUP($G128,$U:$U,1,1),0)&gt;=O$2,"o","-"))</f>
        <v>-</v>
      </c>
      <c r="P128" s="42" t="str">
        <f>IF($F128&gt;=P$2,"-",IF(IFERROR(VLOOKUP($G128,$U:$U,1,1),0)&gt;=P$2,"o","-"))</f>
        <v>-</v>
      </c>
      <c r="Q128" s="42" t="str">
        <f>IF($F128&gt;=Q$2,"-",IF(IFERROR(VLOOKUP($G128,$U:$U,1,1),0)&gt;=Q$2,"o","-"))</f>
        <v>-</v>
      </c>
      <c r="R128" s="42" t="str">
        <f>IF($F128&gt;=R$2,"-",IF(IFERROR(VLOOKUP($G128,$U:$U,1,1),0)&gt;=R$2,"o","-"))</f>
        <v>-</v>
      </c>
      <c r="S128" s="12">
        <f>IF(L128="o",50000,0)+IF(M128="o",100000,0)+IF(N128="o",200000,0)+IF(O128="o",400000,0)+IF(P128="o",600000,0)+IF(Q128="o",1000000,0)+IF(R128="o",2000000,0)</f>
        <v>50000</v>
      </c>
    </row>
    <row r="129" spans="2:19">
      <c r="B129" s="9">
        <v>124</v>
      </c>
      <c r="C129" s="10" t="s">
        <v>521</v>
      </c>
      <c r="D129" s="10" t="s">
        <v>757</v>
      </c>
      <c r="E129" s="82">
        <v>32201949</v>
      </c>
      <c r="F129" s="85">
        <f>IFERROR(VLOOKUP(D129,'1월'!D:F,3,0),)</f>
        <v>0</v>
      </c>
      <c r="G129" s="58">
        <v>2</v>
      </c>
      <c r="H129" s="58"/>
      <c r="I129" s="58"/>
      <c r="J129" s="58"/>
      <c r="K129" s="81"/>
      <c r="L129" s="42" t="str">
        <f>IF($F129&gt;=L$2,"-",IF(IFERROR(VLOOKUP($G129,$U:$U,1,1),0)&gt;=L$2,"o","-"))</f>
        <v>o</v>
      </c>
      <c r="M129" s="42" t="str">
        <f>IF($F129&gt;=M$2,"-",IF(IFERROR(VLOOKUP($G129,$U:$U,1,1),0)&gt;=M$2,"o","-"))</f>
        <v>-</v>
      </c>
      <c r="N129" s="42" t="str">
        <f>IF($F129&gt;=N$2,"-",IF(IFERROR(VLOOKUP($G129,$U:$U,1,1),0)&gt;=N$2,"o","-"))</f>
        <v>-</v>
      </c>
      <c r="O129" s="42" t="str">
        <f>IF($F129&gt;=O$2,"-",IF(IFERROR(VLOOKUP($G129,$U:$U,1,1),0)&gt;=O$2,"o","-"))</f>
        <v>-</v>
      </c>
      <c r="P129" s="42" t="str">
        <f>IF($F129&gt;=P$2,"-",IF(IFERROR(VLOOKUP($G129,$U:$U,1,1),0)&gt;=P$2,"o","-"))</f>
        <v>-</v>
      </c>
      <c r="Q129" s="42" t="str">
        <f>IF($F129&gt;=Q$2,"-",IF(IFERROR(VLOOKUP($G129,$U:$U,1,1),0)&gt;=Q$2,"o","-"))</f>
        <v>-</v>
      </c>
      <c r="R129" s="42" t="str">
        <f>IF($F129&gt;=R$2,"-",IF(IFERROR(VLOOKUP($G129,$U:$U,1,1),0)&gt;=R$2,"o","-"))</f>
        <v>-</v>
      </c>
      <c r="S129" s="12">
        <f>IF(L129="o",50000,0)+IF(M129="o",100000,0)+IF(N129="o",200000,0)+IF(O129="o",400000,0)+IF(P129="o",600000,0)+IF(Q129="o",1000000,0)+IF(R129="o",2000000,0)</f>
        <v>50000</v>
      </c>
    </row>
    <row r="130" spans="2:19">
      <c r="B130" s="9">
        <v>125</v>
      </c>
      <c r="C130" s="10" t="s">
        <v>522</v>
      </c>
      <c r="D130" s="10" t="s">
        <v>758</v>
      </c>
      <c r="E130" s="82">
        <v>31903112</v>
      </c>
      <c r="F130" s="85">
        <f>IFERROR(VLOOKUP(D130,'1월'!D:F,3,0),)</f>
        <v>0</v>
      </c>
      <c r="G130" s="58">
        <v>2</v>
      </c>
      <c r="H130" s="58"/>
      <c r="I130" s="58"/>
      <c r="J130" s="58"/>
      <c r="K130" s="81"/>
      <c r="L130" s="42" t="str">
        <f>IF($F130&gt;=L$2,"-",IF(IFERROR(VLOOKUP($G130,$U:$U,1,1),0)&gt;=L$2,"o","-"))</f>
        <v>o</v>
      </c>
      <c r="M130" s="42" t="str">
        <f>IF($F130&gt;=M$2,"-",IF(IFERROR(VLOOKUP($G130,$U:$U,1,1),0)&gt;=M$2,"o","-"))</f>
        <v>-</v>
      </c>
      <c r="N130" s="42" t="str">
        <f>IF($F130&gt;=N$2,"-",IF(IFERROR(VLOOKUP($G130,$U:$U,1,1),0)&gt;=N$2,"o","-"))</f>
        <v>-</v>
      </c>
      <c r="O130" s="42" t="str">
        <f>IF($F130&gt;=O$2,"-",IF(IFERROR(VLOOKUP($G130,$U:$U,1,1),0)&gt;=O$2,"o","-"))</f>
        <v>-</v>
      </c>
      <c r="P130" s="42" t="str">
        <f>IF($F130&gt;=P$2,"-",IF(IFERROR(VLOOKUP($G130,$U:$U,1,1),0)&gt;=P$2,"o","-"))</f>
        <v>-</v>
      </c>
      <c r="Q130" s="42" t="str">
        <f>IF($F130&gt;=Q$2,"-",IF(IFERROR(VLOOKUP($G130,$U:$U,1,1),0)&gt;=Q$2,"o","-"))</f>
        <v>-</v>
      </c>
      <c r="R130" s="42" t="str">
        <f>IF($F130&gt;=R$2,"-",IF(IFERROR(VLOOKUP($G130,$U:$U,1,1),0)&gt;=R$2,"o","-"))</f>
        <v>-</v>
      </c>
      <c r="S130" s="12">
        <f>IF(L130="o",50000,0)+IF(M130="o",100000,0)+IF(N130="o",200000,0)+IF(O130="o",400000,0)+IF(P130="o",600000,0)+IF(Q130="o",1000000,0)+IF(R130="o",2000000,0)</f>
        <v>50000</v>
      </c>
    </row>
    <row r="131" spans="2:19">
      <c r="B131" s="9">
        <v>126</v>
      </c>
      <c r="C131" s="10" t="s">
        <v>523</v>
      </c>
      <c r="D131" s="10" t="s">
        <v>759</v>
      </c>
      <c r="E131" s="82">
        <v>31902537</v>
      </c>
      <c r="F131" s="85">
        <f>IFERROR(VLOOKUP(D131,'1월'!D:F,3,0),)</f>
        <v>0</v>
      </c>
      <c r="G131" s="58">
        <v>2</v>
      </c>
      <c r="H131" s="58"/>
      <c r="I131" s="58"/>
      <c r="J131" s="58"/>
      <c r="K131" s="81"/>
      <c r="L131" s="42" t="str">
        <f>IF($F131&gt;=L$2,"-",IF(IFERROR(VLOOKUP($G131,$U:$U,1,1),0)&gt;=L$2,"o","-"))</f>
        <v>o</v>
      </c>
      <c r="M131" s="42" t="str">
        <f>IF($F131&gt;=M$2,"-",IF(IFERROR(VLOOKUP($G131,$U:$U,1,1),0)&gt;=M$2,"o","-"))</f>
        <v>-</v>
      </c>
      <c r="N131" s="42" t="str">
        <f>IF($F131&gt;=N$2,"-",IF(IFERROR(VLOOKUP($G131,$U:$U,1,1),0)&gt;=N$2,"o","-"))</f>
        <v>-</v>
      </c>
      <c r="O131" s="42" t="str">
        <f>IF($F131&gt;=O$2,"-",IF(IFERROR(VLOOKUP($G131,$U:$U,1,1),0)&gt;=O$2,"o","-"))</f>
        <v>-</v>
      </c>
      <c r="P131" s="42" t="str">
        <f>IF($F131&gt;=P$2,"-",IF(IFERROR(VLOOKUP($G131,$U:$U,1,1),0)&gt;=P$2,"o","-"))</f>
        <v>-</v>
      </c>
      <c r="Q131" s="42" t="str">
        <f>IF($F131&gt;=Q$2,"-",IF(IFERROR(VLOOKUP($G131,$U:$U,1,1),0)&gt;=Q$2,"o","-"))</f>
        <v>-</v>
      </c>
      <c r="R131" s="42" t="str">
        <f>IF($F131&gt;=R$2,"-",IF(IFERROR(VLOOKUP($G131,$U:$U,1,1),0)&gt;=R$2,"o","-"))</f>
        <v>-</v>
      </c>
      <c r="S131" s="12">
        <f>IF(L131="o",50000,0)+IF(M131="o",100000,0)+IF(N131="o",200000,0)+IF(O131="o",400000,0)+IF(P131="o",600000,0)+IF(Q131="o",1000000,0)+IF(R131="o",2000000,0)</f>
        <v>50000</v>
      </c>
    </row>
    <row r="132" spans="2:19">
      <c r="B132" s="9">
        <v>127</v>
      </c>
      <c r="C132" s="10" t="s">
        <v>524</v>
      </c>
      <c r="D132" s="10" t="s">
        <v>760</v>
      </c>
      <c r="E132" s="82">
        <v>42000194</v>
      </c>
      <c r="F132" s="85">
        <f>IFERROR(VLOOKUP(D132,'1월'!D:F,3,0),)</f>
        <v>0</v>
      </c>
      <c r="G132" s="58">
        <v>2</v>
      </c>
      <c r="H132" s="58"/>
      <c r="I132" s="58"/>
      <c r="J132" s="58"/>
      <c r="K132" s="81"/>
      <c r="L132" s="42" t="str">
        <f>IF($F132&gt;=L$2,"-",IF(IFERROR(VLOOKUP($G132,$U:$U,1,1),0)&gt;=L$2,"o","-"))</f>
        <v>o</v>
      </c>
      <c r="M132" s="42" t="str">
        <f>IF($F132&gt;=M$2,"-",IF(IFERROR(VLOOKUP($G132,$U:$U,1,1),0)&gt;=M$2,"o","-"))</f>
        <v>-</v>
      </c>
      <c r="N132" s="42" t="str">
        <f>IF($F132&gt;=N$2,"-",IF(IFERROR(VLOOKUP($G132,$U:$U,1,1),0)&gt;=N$2,"o","-"))</f>
        <v>-</v>
      </c>
      <c r="O132" s="42" t="str">
        <f>IF($F132&gt;=O$2,"-",IF(IFERROR(VLOOKUP($G132,$U:$U,1,1),0)&gt;=O$2,"o","-"))</f>
        <v>-</v>
      </c>
      <c r="P132" s="42" t="str">
        <f>IF($F132&gt;=P$2,"-",IF(IFERROR(VLOOKUP($G132,$U:$U,1,1),0)&gt;=P$2,"o","-"))</f>
        <v>-</v>
      </c>
      <c r="Q132" s="42" t="str">
        <f>IF($F132&gt;=Q$2,"-",IF(IFERROR(VLOOKUP($G132,$U:$U,1,1),0)&gt;=Q$2,"o","-"))</f>
        <v>-</v>
      </c>
      <c r="R132" s="42" t="str">
        <f>IF($F132&gt;=R$2,"-",IF(IFERROR(VLOOKUP($G132,$U:$U,1,1),0)&gt;=R$2,"o","-"))</f>
        <v>-</v>
      </c>
      <c r="S132" s="12">
        <f>IF(L132="o",50000,0)+IF(M132="o",100000,0)+IF(N132="o",200000,0)+IF(O132="o",400000,0)+IF(P132="o",600000,0)+IF(Q132="o",1000000,0)+IF(R132="o",2000000,0)</f>
        <v>50000</v>
      </c>
    </row>
    <row r="133" spans="2:19">
      <c r="B133" s="9">
        <v>128</v>
      </c>
      <c r="C133" s="10" t="s">
        <v>525</v>
      </c>
      <c r="D133" s="10" t="s">
        <v>761</v>
      </c>
      <c r="E133" s="82">
        <v>40708605</v>
      </c>
      <c r="F133" s="85">
        <f>IFERROR(VLOOKUP(D133,'1월'!D:F,3,0),)</f>
        <v>0</v>
      </c>
      <c r="G133" s="58">
        <v>2</v>
      </c>
      <c r="H133" s="58"/>
      <c r="I133" s="58"/>
      <c r="J133" s="58"/>
      <c r="K133" s="81"/>
      <c r="L133" s="42" t="str">
        <f>IF($F133&gt;=L$2,"-",IF(IFERROR(VLOOKUP($G133,$U:$U,1,1),0)&gt;=L$2,"o","-"))</f>
        <v>o</v>
      </c>
      <c r="M133" s="42" t="str">
        <f>IF($F133&gt;=M$2,"-",IF(IFERROR(VLOOKUP($G133,$U:$U,1,1),0)&gt;=M$2,"o","-"))</f>
        <v>-</v>
      </c>
      <c r="N133" s="42" t="str">
        <f>IF($F133&gt;=N$2,"-",IF(IFERROR(VLOOKUP($G133,$U:$U,1,1),0)&gt;=N$2,"o","-"))</f>
        <v>-</v>
      </c>
      <c r="O133" s="42" t="str">
        <f>IF($F133&gt;=O$2,"-",IF(IFERROR(VLOOKUP($G133,$U:$U,1,1),0)&gt;=O$2,"o","-"))</f>
        <v>-</v>
      </c>
      <c r="P133" s="42" t="str">
        <f>IF($F133&gt;=P$2,"-",IF(IFERROR(VLOOKUP($G133,$U:$U,1,1),0)&gt;=P$2,"o","-"))</f>
        <v>-</v>
      </c>
      <c r="Q133" s="42" t="str">
        <f>IF($F133&gt;=Q$2,"-",IF(IFERROR(VLOOKUP($G133,$U:$U,1,1),0)&gt;=Q$2,"o","-"))</f>
        <v>-</v>
      </c>
      <c r="R133" s="42" t="str">
        <f>IF($F133&gt;=R$2,"-",IF(IFERROR(VLOOKUP($G133,$U:$U,1,1),0)&gt;=R$2,"o","-"))</f>
        <v>-</v>
      </c>
      <c r="S133" s="12">
        <f>IF(L133="o",50000,0)+IF(M133="o",100000,0)+IF(N133="o",200000,0)+IF(O133="o",400000,0)+IF(P133="o",600000,0)+IF(Q133="o",1000000,0)+IF(R133="o",2000000,0)</f>
        <v>50000</v>
      </c>
    </row>
    <row r="134" spans="2:19">
      <c r="B134" s="9">
        <v>129</v>
      </c>
      <c r="C134" s="10" t="s">
        <v>526</v>
      </c>
      <c r="D134" s="10" t="s">
        <v>762</v>
      </c>
      <c r="E134" s="82">
        <v>32500334</v>
      </c>
      <c r="F134" s="85">
        <f>IFERROR(VLOOKUP(D134,'1월'!D:F,3,0),)</f>
        <v>0</v>
      </c>
      <c r="G134" s="58">
        <v>2</v>
      </c>
      <c r="H134" s="58"/>
      <c r="I134" s="58"/>
      <c r="J134" s="58"/>
      <c r="K134" s="81"/>
      <c r="L134" s="42" t="str">
        <f>IF($F134&gt;=L$2,"-",IF(IFERROR(VLOOKUP($G134,$U:$U,1,1),0)&gt;=L$2,"o","-"))</f>
        <v>o</v>
      </c>
      <c r="M134" s="42" t="str">
        <f>IF($F134&gt;=M$2,"-",IF(IFERROR(VLOOKUP($G134,$U:$U,1,1),0)&gt;=M$2,"o","-"))</f>
        <v>-</v>
      </c>
      <c r="N134" s="42" t="str">
        <f>IF($F134&gt;=N$2,"-",IF(IFERROR(VLOOKUP($G134,$U:$U,1,1),0)&gt;=N$2,"o","-"))</f>
        <v>-</v>
      </c>
      <c r="O134" s="42" t="str">
        <f>IF($F134&gt;=O$2,"-",IF(IFERROR(VLOOKUP($G134,$U:$U,1,1),0)&gt;=O$2,"o","-"))</f>
        <v>-</v>
      </c>
      <c r="P134" s="42" t="str">
        <f>IF($F134&gt;=P$2,"-",IF(IFERROR(VLOOKUP($G134,$U:$U,1,1),0)&gt;=P$2,"o","-"))</f>
        <v>-</v>
      </c>
      <c r="Q134" s="42" t="str">
        <f>IF($F134&gt;=Q$2,"-",IF(IFERROR(VLOOKUP($G134,$U:$U,1,1),0)&gt;=Q$2,"o","-"))</f>
        <v>-</v>
      </c>
      <c r="R134" s="42" t="str">
        <f>IF($F134&gt;=R$2,"-",IF(IFERROR(VLOOKUP($G134,$U:$U,1,1),0)&gt;=R$2,"o","-"))</f>
        <v>-</v>
      </c>
      <c r="S134" s="12">
        <f>IF(L134="o",50000,0)+IF(M134="o",100000,0)+IF(N134="o",200000,0)+IF(O134="o",400000,0)+IF(P134="o",600000,0)+IF(Q134="o",1000000,0)+IF(R134="o",2000000,0)</f>
        <v>50000</v>
      </c>
    </row>
    <row r="135" spans="2:19">
      <c r="B135" s="9">
        <v>130</v>
      </c>
      <c r="C135" s="10" t="s">
        <v>527</v>
      </c>
      <c r="D135" s="10" t="s">
        <v>763</v>
      </c>
      <c r="E135" s="82">
        <v>32303351</v>
      </c>
      <c r="F135" s="85">
        <f>IFERROR(VLOOKUP(D135,'1월'!D:F,3,0),)</f>
        <v>0</v>
      </c>
      <c r="G135" s="58">
        <v>2</v>
      </c>
      <c r="H135" s="58"/>
      <c r="I135" s="58"/>
      <c r="J135" s="58"/>
      <c r="K135" s="81"/>
      <c r="L135" s="42" t="str">
        <f>IF($F135&gt;=L$2,"-",IF(IFERROR(VLOOKUP($G135,$U:$U,1,1),0)&gt;=L$2,"o","-"))</f>
        <v>o</v>
      </c>
      <c r="M135" s="42" t="str">
        <f>IF($F135&gt;=M$2,"-",IF(IFERROR(VLOOKUP($G135,$U:$U,1,1),0)&gt;=M$2,"o","-"))</f>
        <v>-</v>
      </c>
      <c r="N135" s="42" t="str">
        <f>IF($F135&gt;=N$2,"-",IF(IFERROR(VLOOKUP($G135,$U:$U,1,1),0)&gt;=N$2,"o","-"))</f>
        <v>-</v>
      </c>
      <c r="O135" s="42" t="str">
        <f>IF($F135&gt;=O$2,"-",IF(IFERROR(VLOOKUP($G135,$U:$U,1,1),0)&gt;=O$2,"o","-"))</f>
        <v>-</v>
      </c>
      <c r="P135" s="42" t="str">
        <f>IF($F135&gt;=P$2,"-",IF(IFERROR(VLOOKUP($G135,$U:$U,1,1),0)&gt;=P$2,"o","-"))</f>
        <v>-</v>
      </c>
      <c r="Q135" s="42" t="str">
        <f>IF($F135&gt;=Q$2,"-",IF(IFERROR(VLOOKUP($G135,$U:$U,1,1),0)&gt;=Q$2,"o","-"))</f>
        <v>-</v>
      </c>
      <c r="R135" s="42" t="str">
        <f>IF($F135&gt;=R$2,"-",IF(IFERROR(VLOOKUP($G135,$U:$U,1,1),0)&gt;=R$2,"o","-"))</f>
        <v>-</v>
      </c>
      <c r="S135" s="12">
        <f>IF(L135="o",50000,0)+IF(M135="o",100000,0)+IF(N135="o",200000,0)+IF(O135="o",400000,0)+IF(P135="o",600000,0)+IF(Q135="o",1000000,0)+IF(R135="o",2000000,0)</f>
        <v>50000</v>
      </c>
    </row>
    <row r="136" spans="2:19">
      <c r="B136" s="9">
        <v>131</v>
      </c>
      <c r="C136" s="10" t="s">
        <v>528</v>
      </c>
      <c r="D136" s="10" t="s">
        <v>764</v>
      </c>
      <c r="E136" s="82">
        <v>41502648</v>
      </c>
      <c r="F136" s="85">
        <f>IFERROR(VLOOKUP(D136,'1월'!D:F,3,0),)</f>
        <v>0</v>
      </c>
      <c r="G136" s="58">
        <v>2</v>
      </c>
      <c r="H136" s="58"/>
      <c r="I136" s="58"/>
      <c r="J136" s="58"/>
      <c r="K136" s="81"/>
      <c r="L136" s="42" t="str">
        <f>IF($F136&gt;=L$2,"-",IF(IFERROR(VLOOKUP($G136,$U:$U,1,1),0)&gt;=L$2,"o","-"))</f>
        <v>o</v>
      </c>
      <c r="M136" s="42" t="str">
        <f>IF($F136&gt;=M$2,"-",IF(IFERROR(VLOOKUP($G136,$U:$U,1,1),0)&gt;=M$2,"o","-"))</f>
        <v>-</v>
      </c>
      <c r="N136" s="42" t="str">
        <f>IF($F136&gt;=N$2,"-",IF(IFERROR(VLOOKUP($G136,$U:$U,1,1),0)&gt;=N$2,"o","-"))</f>
        <v>-</v>
      </c>
      <c r="O136" s="42" t="str">
        <f>IF($F136&gt;=O$2,"-",IF(IFERROR(VLOOKUP($G136,$U:$U,1,1),0)&gt;=O$2,"o","-"))</f>
        <v>-</v>
      </c>
      <c r="P136" s="42" t="str">
        <f>IF($F136&gt;=P$2,"-",IF(IFERROR(VLOOKUP($G136,$U:$U,1,1),0)&gt;=P$2,"o","-"))</f>
        <v>-</v>
      </c>
      <c r="Q136" s="42" t="str">
        <f>IF($F136&gt;=Q$2,"-",IF(IFERROR(VLOOKUP($G136,$U:$U,1,1),0)&gt;=Q$2,"o","-"))</f>
        <v>-</v>
      </c>
      <c r="R136" s="42" t="str">
        <f>IF($F136&gt;=R$2,"-",IF(IFERROR(VLOOKUP($G136,$U:$U,1,1),0)&gt;=R$2,"o","-"))</f>
        <v>-</v>
      </c>
      <c r="S136" s="12">
        <f>IF(L136="o",50000,0)+IF(M136="o",100000,0)+IF(N136="o",200000,0)+IF(O136="o",400000,0)+IF(P136="o",600000,0)+IF(Q136="o",1000000,0)+IF(R136="o",2000000,0)</f>
        <v>50000</v>
      </c>
    </row>
    <row r="137" spans="2:19">
      <c r="B137" s="9">
        <v>132</v>
      </c>
      <c r="C137" s="10" t="s">
        <v>529</v>
      </c>
      <c r="D137" s="10" t="s">
        <v>765</v>
      </c>
      <c r="E137" s="82">
        <v>32300877</v>
      </c>
      <c r="F137" s="85">
        <f>IFERROR(VLOOKUP(D137,'1월'!D:F,3,0),)</f>
        <v>0</v>
      </c>
      <c r="G137" s="58">
        <v>2</v>
      </c>
      <c r="H137" s="58"/>
      <c r="I137" s="58"/>
      <c r="J137" s="58"/>
      <c r="K137" s="81"/>
      <c r="L137" s="42" t="str">
        <f>IF($F137&gt;=L$2,"-",IF(IFERROR(VLOOKUP($G137,$U:$U,1,1),0)&gt;=L$2,"o","-"))</f>
        <v>o</v>
      </c>
      <c r="M137" s="42" t="str">
        <f>IF($F137&gt;=M$2,"-",IF(IFERROR(VLOOKUP($G137,$U:$U,1,1),0)&gt;=M$2,"o","-"))</f>
        <v>-</v>
      </c>
      <c r="N137" s="42" t="str">
        <f>IF($F137&gt;=N$2,"-",IF(IFERROR(VLOOKUP($G137,$U:$U,1,1),0)&gt;=N$2,"o","-"))</f>
        <v>-</v>
      </c>
      <c r="O137" s="42" t="str">
        <f>IF($F137&gt;=O$2,"-",IF(IFERROR(VLOOKUP($G137,$U:$U,1,1),0)&gt;=O$2,"o","-"))</f>
        <v>-</v>
      </c>
      <c r="P137" s="42" t="str">
        <f>IF($F137&gt;=P$2,"-",IF(IFERROR(VLOOKUP($G137,$U:$U,1,1),0)&gt;=P$2,"o","-"))</f>
        <v>-</v>
      </c>
      <c r="Q137" s="42" t="str">
        <f>IF($F137&gt;=Q$2,"-",IF(IFERROR(VLOOKUP($G137,$U:$U,1,1),0)&gt;=Q$2,"o","-"))</f>
        <v>-</v>
      </c>
      <c r="R137" s="42" t="str">
        <f>IF($F137&gt;=R$2,"-",IF(IFERROR(VLOOKUP($G137,$U:$U,1,1),0)&gt;=R$2,"o","-"))</f>
        <v>-</v>
      </c>
      <c r="S137" s="12">
        <f>IF(L137="o",50000,0)+IF(M137="o",100000,0)+IF(N137="o",200000,0)+IF(O137="o",400000,0)+IF(P137="o",600000,0)+IF(Q137="o",1000000,0)+IF(R137="o",2000000,0)</f>
        <v>50000</v>
      </c>
    </row>
    <row r="138" spans="2:19">
      <c r="B138" s="9">
        <v>133</v>
      </c>
      <c r="C138" s="10" t="s">
        <v>530</v>
      </c>
      <c r="D138" s="10" t="s">
        <v>766</v>
      </c>
      <c r="E138" s="82">
        <v>41506842</v>
      </c>
      <c r="F138" s="85">
        <f>IFERROR(VLOOKUP(D138,'1월'!D:F,3,0),)</f>
        <v>0</v>
      </c>
      <c r="G138" s="58">
        <v>2</v>
      </c>
      <c r="H138" s="58"/>
      <c r="I138" s="58"/>
      <c r="J138" s="58"/>
      <c r="K138" s="81"/>
      <c r="L138" s="42" t="str">
        <f>IF($F138&gt;=L$2,"-",IF(IFERROR(VLOOKUP($G138,$U:$U,1,1),0)&gt;=L$2,"o","-"))</f>
        <v>o</v>
      </c>
      <c r="M138" s="42" t="str">
        <f>IF($F138&gt;=M$2,"-",IF(IFERROR(VLOOKUP($G138,$U:$U,1,1),0)&gt;=M$2,"o","-"))</f>
        <v>-</v>
      </c>
      <c r="N138" s="42" t="str">
        <f>IF($F138&gt;=N$2,"-",IF(IFERROR(VLOOKUP($G138,$U:$U,1,1),0)&gt;=N$2,"o","-"))</f>
        <v>-</v>
      </c>
      <c r="O138" s="42" t="str">
        <f>IF($F138&gt;=O$2,"-",IF(IFERROR(VLOOKUP($G138,$U:$U,1,1),0)&gt;=O$2,"o","-"))</f>
        <v>-</v>
      </c>
      <c r="P138" s="42" t="str">
        <f>IF($F138&gt;=P$2,"-",IF(IFERROR(VLOOKUP($G138,$U:$U,1,1),0)&gt;=P$2,"o","-"))</f>
        <v>-</v>
      </c>
      <c r="Q138" s="42" t="str">
        <f>IF($F138&gt;=Q$2,"-",IF(IFERROR(VLOOKUP($G138,$U:$U,1,1),0)&gt;=Q$2,"o","-"))</f>
        <v>-</v>
      </c>
      <c r="R138" s="42" t="str">
        <f>IF($F138&gt;=R$2,"-",IF(IFERROR(VLOOKUP($G138,$U:$U,1,1),0)&gt;=R$2,"o","-"))</f>
        <v>-</v>
      </c>
      <c r="S138" s="12">
        <f>IF(L138="o",50000,0)+IF(M138="o",100000,0)+IF(N138="o",200000,0)+IF(O138="o",400000,0)+IF(P138="o",600000,0)+IF(Q138="o",1000000,0)+IF(R138="o",2000000,0)</f>
        <v>50000</v>
      </c>
    </row>
    <row r="139" spans="2:19">
      <c r="B139" s="9">
        <v>134</v>
      </c>
      <c r="C139" s="10" t="s">
        <v>531</v>
      </c>
      <c r="D139" s="10" t="s">
        <v>767</v>
      </c>
      <c r="E139" s="82">
        <v>31500939</v>
      </c>
      <c r="F139" s="85">
        <f>IFERROR(VLOOKUP(D139,'1월'!D:F,3,0),)</f>
        <v>0</v>
      </c>
      <c r="G139" s="58">
        <v>2</v>
      </c>
      <c r="H139" s="58"/>
      <c r="I139" s="58"/>
      <c r="J139" s="58"/>
      <c r="K139" s="81"/>
      <c r="L139" s="42" t="str">
        <f>IF($F139&gt;=L$2,"-",IF(IFERROR(VLOOKUP($G139,$U:$U,1,1),0)&gt;=L$2,"o","-"))</f>
        <v>o</v>
      </c>
      <c r="M139" s="42" t="str">
        <f>IF($F139&gt;=M$2,"-",IF(IFERROR(VLOOKUP($G139,$U:$U,1,1),0)&gt;=M$2,"o","-"))</f>
        <v>-</v>
      </c>
      <c r="N139" s="42" t="str">
        <f>IF($F139&gt;=N$2,"-",IF(IFERROR(VLOOKUP($G139,$U:$U,1,1),0)&gt;=N$2,"o","-"))</f>
        <v>-</v>
      </c>
      <c r="O139" s="42" t="str">
        <f>IF($F139&gt;=O$2,"-",IF(IFERROR(VLOOKUP($G139,$U:$U,1,1),0)&gt;=O$2,"o","-"))</f>
        <v>-</v>
      </c>
      <c r="P139" s="42" t="str">
        <f>IF($F139&gt;=P$2,"-",IF(IFERROR(VLOOKUP($G139,$U:$U,1,1),0)&gt;=P$2,"o","-"))</f>
        <v>-</v>
      </c>
      <c r="Q139" s="42" t="str">
        <f>IF($F139&gt;=Q$2,"-",IF(IFERROR(VLOOKUP($G139,$U:$U,1,1),0)&gt;=Q$2,"o","-"))</f>
        <v>-</v>
      </c>
      <c r="R139" s="42" t="str">
        <f>IF($F139&gt;=R$2,"-",IF(IFERROR(VLOOKUP($G139,$U:$U,1,1),0)&gt;=R$2,"o","-"))</f>
        <v>-</v>
      </c>
      <c r="S139" s="12">
        <f>IF(L139="o",50000,0)+IF(M139="o",100000,0)+IF(N139="o",200000,0)+IF(O139="o",400000,0)+IF(P139="o",600000,0)+IF(Q139="o",1000000,0)+IF(R139="o",2000000,0)</f>
        <v>50000</v>
      </c>
    </row>
    <row r="140" spans="2:19">
      <c r="B140" s="9">
        <v>135</v>
      </c>
      <c r="C140" s="10" t="s">
        <v>532</v>
      </c>
      <c r="D140" s="10" t="s">
        <v>768</v>
      </c>
      <c r="E140" s="82">
        <v>41200094</v>
      </c>
      <c r="F140" s="85">
        <f>IFERROR(VLOOKUP(D140,'1월'!D:F,3,0),)</f>
        <v>0</v>
      </c>
      <c r="G140" s="58">
        <v>2</v>
      </c>
      <c r="H140" s="58"/>
      <c r="I140" s="58"/>
      <c r="J140" s="58"/>
      <c r="K140" s="81"/>
      <c r="L140" s="42" t="str">
        <f>IF($F140&gt;=L$2,"-",IF(IFERROR(VLOOKUP($G140,$U:$U,1,1),0)&gt;=L$2,"o","-"))</f>
        <v>o</v>
      </c>
      <c r="M140" s="42" t="str">
        <f>IF($F140&gt;=M$2,"-",IF(IFERROR(VLOOKUP($G140,$U:$U,1,1),0)&gt;=M$2,"o","-"))</f>
        <v>-</v>
      </c>
      <c r="N140" s="42" t="str">
        <f>IF($F140&gt;=N$2,"-",IF(IFERROR(VLOOKUP($G140,$U:$U,1,1),0)&gt;=N$2,"o","-"))</f>
        <v>-</v>
      </c>
      <c r="O140" s="42" t="str">
        <f>IF($F140&gt;=O$2,"-",IF(IFERROR(VLOOKUP($G140,$U:$U,1,1),0)&gt;=O$2,"o","-"))</f>
        <v>-</v>
      </c>
      <c r="P140" s="42" t="str">
        <f>IF($F140&gt;=P$2,"-",IF(IFERROR(VLOOKUP($G140,$U:$U,1,1),0)&gt;=P$2,"o","-"))</f>
        <v>-</v>
      </c>
      <c r="Q140" s="42" t="str">
        <f>IF($F140&gt;=Q$2,"-",IF(IFERROR(VLOOKUP($G140,$U:$U,1,1),0)&gt;=Q$2,"o","-"))</f>
        <v>-</v>
      </c>
      <c r="R140" s="42" t="str">
        <f>IF($F140&gt;=R$2,"-",IF(IFERROR(VLOOKUP($G140,$U:$U,1,1),0)&gt;=R$2,"o","-"))</f>
        <v>-</v>
      </c>
      <c r="S140" s="12">
        <f>IF(L140="o",50000,0)+IF(M140="o",100000,0)+IF(N140="o",200000,0)+IF(O140="o",400000,0)+IF(P140="o",600000,0)+IF(Q140="o",1000000,0)+IF(R140="o",2000000,0)</f>
        <v>50000</v>
      </c>
    </row>
    <row r="141" spans="2:19">
      <c r="B141" s="9">
        <v>136</v>
      </c>
      <c r="C141" s="10" t="s">
        <v>509</v>
      </c>
      <c r="D141" s="10" t="s">
        <v>769</v>
      </c>
      <c r="E141" s="82">
        <v>32409282</v>
      </c>
      <c r="F141" s="85">
        <f>IFERROR(VLOOKUP(D141,'1월'!D:F,3,0),)</f>
        <v>0</v>
      </c>
      <c r="G141" s="58">
        <v>2</v>
      </c>
      <c r="H141" s="58"/>
      <c r="I141" s="58"/>
      <c r="J141" s="58"/>
      <c r="K141" s="81"/>
      <c r="L141" s="42" t="str">
        <f>IF($F141&gt;=L$2,"-",IF(IFERROR(VLOOKUP($G141,$U:$U,1,1),0)&gt;=L$2,"o","-"))</f>
        <v>o</v>
      </c>
      <c r="M141" s="42" t="str">
        <f>IF($F141&gt;=M$2,"-",IF(IFERROR(VLOOKUP($G141,$U:$U,1,1),0)&gt;=M$2,"o","-"))</f>
        <v>-</v>
      </c>
      <c r="N141" s="42" t="str">
        <f>IF($F141&gt;=N$2,"-",IF(IFERROR(VLOOKUP($G141,$U:$U,1,1),0)&gt;=N$2,"o","-"))</f>
        <v>-</v>
      </c>
      <c r="O141" s="42" t="str">
        <f>IF($F141&gt;=O$2,"-",IF(IFERROR(VLOOKUP($G141,$U:$U,1,1),0)&gt;=O$2,"o","-"))</f>
        <v>-</v>
      </c>
      <c r="P141" s="42" t="str">
        <f>IF($F141&gt;=P$2,"-",IF(IFERROR(VLOOKUP($G141,$U:$U,1,1),0)&gt;=P$2,"o","-"))</f>
        <v>-</v>
      </c>
      <c r="Q141" s="42" t="str">
        <f>IF($F141&gt;=Q$2,"-",IF(IFERROR(VLOOKUP($G141,$U:$U,1,1),0)&gt;=Q$2,"o","-"))</f>
        <v>-</v>
      </c>
      <c r="R141" s="42" t="str">
        <f>IF($F141&gt;=R$2,"-",IF(IFERROR(VLOOKUP($G141,$U:$U,1,1),0)&gt;=R$2,"o","-"))</f>
        <v>-</v>
      </c>
      <c r="S141" s="12">
        <f>IF(L141="o",50000,0)+IF(M141="o",100000,0)+IF(N141="o",200000,0)+IF(O141="o",400000,0)+IF(P141="o",600000,0)+IF(Q141="o",1000000,0)+IF(R141="o",2000000,0)</f>
        <v>50000</v>
      </c>
    </row>
    <row r="142" spans="2:19">
      <c r="B142" s="9">
        <v>137</v>
      </c>
      <c r="C142" s="10" t="s">
        <v>533</v>
      </c>
      <c r="D142" s="10" t="s">
        <v>770</v>
      </c>
      <c r="E142" s="82">
        <v>42200219</v>
      </c>
      <c r="F142" s="85">
        <f>IFERROR(VLOOKUP(D142,'1월'!D:F,3,0),)</f>
        <v>0</v>
      </c>
      <c r="G142" s="58">
        <v>2</v>
      </c>
      <c r="H142" s="58"/>
      <c r="I142" s="58"/>
      <c r="J142" s="58"/>
      <c r="K142" s="81"/>
      <c r="L142" s="42" t="str">
        <f>IF($F142&gt;=L$2,"-",IF(IFERROR(VLOOKUP($G142,$U:$U,1,1),0)&gt;=L$2,"o","-"))</f>
        <v>o</v>
      </c>
      <c r="M142" s="42" t="str">
        <f>IF($F142&gt;=M$2,"-",IF(IFERROR(VLOOKUP($G142,$U:$U,1,1),0)&gt;=M$2,"o","-"))</f>
        <v>-</v>
      </c>
      <c r="N142" s="42" t="str">
        <f>IF($F142&gt;=N$2,"-",IF(IFERROR(VLOOKUP($G142,$U:$U,1,1),0)&gt;=N$2,"o","-"))</f>
        <v>-</v>
      </c>
      <c r="O142" s="42" t="str">
        <f>IF($F142&gt;=O$2,"-",IF(IFERROR(VLOOKUP($G142,$U:$U,1,1),0)&gt;=O$2,"o","-"))</f>
        <v>-</v>
      </c>
      <c r="P142" s="42" t="str">
        <f>IF($F142&gt;=P$2,"-",IF(IFERROR(VLOOKUP($G142,$U:$U,1,1),0)&gt;=P$2,"o","-"))</f>
        <v>-</v>
      </c>
      <c r="Q142" s="42" t="str">
        <f>IF($F142&gt;=Q$2,"-",IF(IFERROR(VLOOKUP($G142,$U:$U,1,1),0)&gt;=Q$2,"o","-"))</f>
        <v>-</v>
      </c>
      <c r="R142" s="42" t="str">
        <f>IF($F142&gt;=R$2,"-",IF(IFERROR(VLOOKUP($G142,$U:$U,1,1),0)&gt;=R$2,"o","-"))</f>
        <v>-</v>
      </c>
      <c r="S142" s="12">
        <f>IF(L142="o",50000,0)+IF(M142="o",100000,0)+IF(N142="o",200000,0)+IF(O142="o",400000,0)+IF(P142="o",600000,0)+IF(Q142="o",1000000,0)+IF(R142="o",2000000,0)</f>
        <v>50000</v>
      </c>
    </row>
    <row r="143" spans="2:19">
      <c r="B143" s="9">
        <v>138</v>
      </c>
      <c r="C143" s="10" t="s">
        <v>534</v>
      </c>
      <c r="D143" s="10" t="s">
        <v>771</v>
      </c>
      <c r="E143" s="82">
        <v>31503675</v>
      </c>
      <c r="F143" s="85">
        <f>IFERROR(VLOOKUP(D143,'1월'!D:F,3,0),)</f>
        <v>0</v>
      </c>
      <c r="G143" s="58">
        <v>2</v>
      </c>
      <c r="H143" s="58"/>
      <c r="I143" s="58"/>
      <c r="J143" s="58"/>
      <c r="K143" s="81"/>
      <c r="L143" s="42" t="str">
        <f>IF($F143&gt;=L$2,"-",IF(IFERROR(VLOOKUP($G143,$U:$U,1,1),0)&gt;=L$2,"o","-"))</f>
        <v>o</v>
      </c>
      <c r="M143" s="42" t="str">
        <f>IF($F143&gt;=M$2,"-",IF(IFERROR(VLOOKUP($G143,$U:$U,1,1),0)&gt;=M$2,"o","-"))</f>
        <v>-</v>
      </c>
      <c r="N143" s="42" t="str">
        <f>IF($F143&gt;=N$2,"-",IF(IFERROR(VLOOKUP($G143,$U:$U,1,1),0)&gt;=N$2,"o","-"))</f>
        <v>-</v>
      </c>
      <c r="O143" s="42" t="str">
        <f>IF($F143&gt;=O$2,"-",IF(IFERROR(VLOOKUP($G143,$U:$U,1,1),0)&gt;=O$2,"o","-"))</f>
        <v>-</v>
      </c>
      <c r="P143" s="42" t="str">
        <f>IF($F143&gt;=P$2,"-",IF(IFERROR(VLOOKUP($G143,$U:$U,1,1),0)&gt;=P$2,"o","-"))</f>
        <v>-</v>
      </c>
      <c r="Q143" s="42" t="str">
        <f>IF($F143&gt;=Q$2,"-",IF(IFERROR(VLOOKUP($G143,$U:$U,1,1),0)&gt;=Q$2,"o","-"))</f>
        <v>-</v>
      </c>
      <c r="R143" s="42" t="str">
        <f>IF($F143&gt;=R$2,"-",IF(IFERROR(VLOOKUP($G143,$U:$U,1,1),0)&gt;=R$2,"o","-"))</f>
        <v>-</v>
      </c>
      <c r="S143" s="12">
        <f>IF(L143="o",50000,0)+IF(M143="o",100000,0)+IF(N143="o",200000,0)+IF(O143="o",400000,0)+IF(P143="o",600000,0)+IF(Q143="o",1000000,0)+IF(R143="o",2000000,0)</f>
        <v>50000</v>
      </c>
    </row>
    <row r="144" spans="2:19">
      <c r="B144" s="9">
        <v>139</v>
      </c>
      <c r="C144" s="10" t="s">
        <v>535</v>
      </c>
      <c r="D144" s="10" t="s">
        <v>772</v>
      </c>
      <c r="E144" s="82">
        <v>41506374</v>
      </c>
      <c r="F144" s="85">
        <f>IFERROR(VLOOKUP(D144,'1월'!D:F,3,0),)</f>
        <v>0</v>
      </c>
      <c r="G144" s="58">
        <v>2</v>
      </c>
      <c r="H144" s="58"/>
      <c r="I144" s="58"/>
      <c r="J144" s="58"/>
      <c r="K144" s="81"/>
      <c r="L144" s="42" t="str">
        <f>IF($F144&gt;=L$2,"-",IF(IFERROR(VLOOKUP($G144,$U:$U,1,1),0)&gt;=L$2,"o","-"))</f>
        <v>o</v>
      </c>
      <c r="M144" s="42" t="str">
        <f>IF($F144&gt;=M$2,"-",IF(IFERROR(VLOOKUP($G144,$U:$U,1,1),0)&gt;=M$2,"o","-"))</f>
        <v>-</v>
      </c>
      <c r="N144" s="42" t="str">
        <f>IF($F144&gt;=N$2,"-",IF(IFERROR(VLOOKUP($G144,$U:$U,1,1),0)&gt;=N$2,"o","-"))</f>
        <v>-</v>
      </c>
      <c r="O144" s="42" t="str">
        <f>IF($F144&gt;=O$2,"-",IF(IFERROR(VLOOKUP($G144,$U:$U,1,1),0)&gt;=O$2,"o","-"))</f>
        <v>-</v>
      </c>
      <c r="P144" s="42" t="str">
        <f>IF($F144&gt;=P$2,"-",IF(IFERROR(VLOOKUP($G144,$U:$U,1,1),0)&gt;=P$2,"o","-"))</f>
        <v>-</v>
      </c>
      <c r="Q144" s="42" t="str">
        <f>IF($F144&gt;=Q$2,"-",IF(IFERROR(VLOOKUP($G144,$U:$U,1,1),0)&gt;=Q$2,"o","-"))</f>
        <v>-</v>
      </c>
      <c r="R144" s="42" t="str">
        <f>IF($F144&gt;=R$2,"-",IF(IFERROR(VLOOKUP($G144,$U:$U,1,1),0)&gt;=R$2,"o","-"))</f>
        <v>-</v>
      </c>
      <c r="S144" s="12">
        <f>IF(L144="o",50000,0)+IF(M144="o",100000,0)+IF(N144="o",200000,0)+IF(O144="o",400000,0)+IF(P144="o",600000,0)+IF(Q144="o",1000000,0)+IF(R144="o",2000000,0)</f>
        <v>50000</v>
      </c>
    </row>
    <row r="145" spans="2:19">
      <c r="B145" s="9">
        <v>140</v>
      </c>
      <c r="C145" s="10" t="s">
        <v>536</v>
      </c>
      <c r="D145" s="10" t="s">
        <v>773</v>
      </c>
      <c r="E145" s="82">
        <v>31902753</v>
      </c>
      <c r="F145" s="85">
        <f>IFERROR(VLOOKUP(D145,'1월'!D:F,3,0),)</f>
        <v>0</v>
      </c>
      <c r="G145" s="58">
        <v>2</v>
      </c>
      <c r="H145" s="58"/>
      <c r="I145" s="58"/>
      <c r="J145" s="58"/>
      <c r="K145" s="81"/>
      <c r="L145" s="42" t="str">
        <f>IF($F145&gt;=L$2,"-",IF(IFERROR(VLOOKUP($G145,$U:$U,1,1),0)&gt;=L$2,"o","-"))</f>
        <v>o</v>
      </c>
      <c r="M145" s="42" t="str">
        <f>IF($F145&gt;=M$2,"-",IF(IFERROR(VLOOKUP($G145,$U:$U,1,1),0)&gt;=M$2,"o","-"))</f>
        <v>-</v>
      </c>
      <c r="N145" s="42" t="str">
        <f>IF($F145&gt;=N$2,"-",IF(IFERROR(VLOOKUP($G145,$U:$U,1,1),0)&gt;=N$2,"o","-"))</f>
        <v>-</v>
      </c>
      <c r="O145" s="42" t="str">
        <f>IF($F145&gt;=O$2,"-",IF(IFERROR(VLOOKUP($G145,$U:$U,1,1),0)&gt;=O$2,"o","-"))</f>
        <v>-</v>
      </c>
      <c r="P145" s="42" t="str">
        <f>IF($F145&gt;=P$2,"-",IF(IFERROR(VLOOKUP($G145,$U:$U,1,1),0)&gt;=P$2,"o","-"))</f>
        <v>-</v>
      </c>
      <c r="Q145" s="42" t="str">
        <f>IF($F145&gt;=Q$2,"-",IF(IFERROR(VLOOKUP($G145,$U:$U,1,1),0)&gt;=Q$2,"o","-"))</f>
        <v>-</v>
      </c>
      <c r="R145" s="42" t="str">
        <f>IF($F145&gt;=R$2,"-",IF(IFERROR(VLOOKUP($G145,$U:$U,1,1),0)&gt;=R$2,"o","-"))</f>
        <v>-</v>
      </c>
      <c r="S145" s="12">
        <f>IF(L145="o",50000,0)+IF(M145="o",100000,0)+IF(N145="o",200000,0)+IF(O145="o",400000,0)+IF(P145="o",600000,0)+IF(Q145="o",1000000,0)+IF(R145="o",2000000,0)</f>
        <v>50000</v>
      </c>
    </row>
    <row r="146" spans="2:19">
      <c r="B146" s="9">
        <v>141</v>
      </c>
      <c r="C146" s="10" t="s">
        <v>537</v>
      </c>
      <c r="D146" s="10" t="s">
        <v>774</v>
      </c>
      <c r="E146" s="82">
        <v>32100086</v>
      </c>
      <c r="F146" s="85">
        <f>IFERROR(VLOOKUP(D146,'1월'!D:F,3,0),)</f>
        <v>0</v>
      </c>
      <c r="G146" s="58">
        <v>2</v>
      </c>
      <c r="H146" s="58"/>
      <c r="I146" s="58"/>
      <c r="J146" s="58"/>
      <c r="K146" s="81"/>
      <c r="L146" s="42" t="str">
        <f>IF($F146&gt;=L$2,"-",IF(IFERROR(VLOOKUP($G146,$U:$U,1,1),0)&gt;=L$2,"o","-"))</f>
        <v>o</v>
      </c>
      <c r="M146" s="42" t="str">
        <f>IF($F146&gt;=M$2,"-",IF(IFERROR(VLOOKUP($G146,$U:$U,1,1),0)&gt;=M$2,"o","-"))</f>
        <v>-</v>
      </c>
      <c r="N146" s="42" t="str">
        <f>IF($F146&gt;=N$2,"-",IF(IFERROR(VLOOKUP($G146,$U:$U,1,1),0)&gt;=N$2,"o","-"))</f>
        <v>-</v>
      </c>
      <c r="O146" s="42" t="str">
        <f>IF($F146&gt;=O$2,"-",IF(IFERROR(VLOOKUP($G146,$U:$U,1,1),0)&gt;=O$2,"o","-"))</f>
        <v>-</v>
      </c>
      <c r="P146" s="42" t="str">
        <f>IF($F146&gt;=P$2,"-",IF(IFERROR(VLOOKUP($G146,$U:$U,1,1),0)&gt;=P$2,"o","-"))</f>
        <v>-</v>
      </c>
      <c r="Q146" s="42" t="str">
        <f>IF($F146&gt;=Q$2,"-",IF(IFERROR(VLOOKUP($G146,$U:$U,1,1),0)&gt;=Q$2,"o","-"))</f>
        <v>-</v>
      </c>
      <c r="R146" s="42" t="str">
        <f>IF($F146&gt;=R$2,"-",IF(IFERROR(VLOOKUP($G146,$U:$U,1,1),0)&gt;=R$2,"o","-"))</f>
        <v>-</v>
      </c>
      <c r="S146" s="12">
        <f>IF(L146="o",50000,0)+IF(M146="o",100000,0)+IF(N146="o",200000,0)+IF(O146="o",400000,0)+IF(P146="o",600000,0)+IF(Q146="o",1000000,0)+IF(R146="o",2000000,0)</f>
        <v>50000</v>
      </c>
    </row>
    <row r="147" spans="2:19">
      <c r="B147" s="9">
        <v>142</v>
      </c>
      <c r="C147" s="10" t="s">
        <v>538</v>
      </c>
      <c r="D147" s="10" t="s">
        <v>775</v>
      </c>
      <c r="E147" s="82">
        <v>31504016</v>
      </c>
      <c r="F147" s="85">
        <f>IFERROR(VLOOKUP(D147,'1월'!D:F,3,0),)</f>
        <v>0</v>
      </c>
      <c r="G147" s="58">
        <v>2</v>
      </c>
      <c r="H147" s="58"/>
      <c r="I147" s="58"/>
      <c r="J147" s="58"/>
      <c r="K147" s="81"/>
      <c r="L147" s="42" t="str">
        <f>IF($F147&gt;=L$2,"-",IF(IFERROR(VLOOKUP($G147,$U:$U,1,1),0)&gt;=L$2,"o","-"))</f>
        <v>o</v>
      </c>
      <c r="M147" s="42" t="str">
        <f>IF($F147&gt;=M$2,"-",IF(IFERROR(VLOOKUP($G147,$U:$U,1,1),0)&gt;=M$2,"o","-"))</f>
        <v>-</v>
      </c>
      <c r="N147" s="42" t="str">
        <f>IF($F147&gt;=N$2,"-",IF(IFERROR(VLOOKUP($G147,$U:$U,1,1),0)&gt;=N$2,"o","-"))</f>
        <v>-</v>
      </c>
      <c r="O147" s="42" t="str">
        <f>IF($F147&gt;=O$2,"-",IF(IFERROR(VLOOKUP($G147,$U:$U,1,1),0)&gt;=O$2,"o","-"))</f>
        <v>-</v>
      </c>
      <c r="P147" s="42" t="str">
        <f>IF($F147&gt;=P$2,"-",IF(IFERROR(VLOOKUP($G147,$U:$U,1,1),0)&gt;=P$2,"o","-"))</f>
        <v>-</v>
      </c>
      <c r="Q147" s="42" t="str">
        <f>IF($F147&gt;=Q$2,"-",IF(IFERROR(VLOOKUP($G147,$U:$U,1,1),0)&gt;=Q$2,"o","-"))</f>
        <v>-</v>
      </c>
      <c r="R147" s="42" t="str">
        <f>IF($F147&gt;=R$2,"-",IF(IFERROR(VLOOKUP($G147,$U:$U,1,1),0)&gt;=R$2,"o","-"))</f>
        <v>-</v>
      </c>
      <c r="S147" s="12">
        <f>IF(L147="o",50000,0)+IF(M147="o",100000,0)+IF(N147="o",200000,0)+IF(O147="o",400000,0)+IF(P147="o",600000,0)+IF(Q147="o",1000000,0)+IF(R147="o",2000000,0)</f>
        <v>50000</v>
      </c>
    </row>
    <row r="148" spans="2:19">
      <c r="B148" s="9">
        <v>143</v>
      </c>
      <c r="C148" s="10" t="s">
        <v>539</v>
      </c>
      <c r="D148" s="10" t="s">
        <v>776</v>
      </c>
      <c r="E148" s="82">
        <v>31701774</v>
      </c>
      <c r="F148" s="85">
        <f>IFERROR(VLOOKUP(D148,'1월'!D:F,3,0),)</f>
        <v>0</v>
      </c>
      <c r="G148" s="58">
        <v>2</v>
      </c>
      <c r="H148" s="58"/>
      <c r="I148" s="58"/>
      <c r="J148" s="58"/>
      <c r="K148" s="81"/>
      <c r="L148" s="42" t="str">
        <f>IF($F148&gt;=L$2,"-",IF(IFERROR(VLOOKUP($G148,$U:$U,1,1),0)&gt;=L$2,"o","-"))</f>
        <v>o</v>
      </c>
      <c r="M148" s="42" t="str">
        <f>IF($F148&gt;=M$2,"-",IF(IFERROR(VLOOKUP($G148,$U:$U,1,1),0)&gt;=M$2,"o","-"))</f>
        <v>-</v>
      </c>
      <c r="N148" s="42" t="str">
        <f>IF($F148&gt;=N$2,"-",IF(IFERROR(VLOOKUP($G148,$U:$U,1,1),0)&gt;=N$2,"o","-"))</f>
        <v>-</v>
      </c>
      <c r="O148" s="42" t="str">
        <f>IF($F148&gt;=O$2,"-",IF(IFERROR(VLOOKUP($G148,$U:$U,1,1),0)&gt;=O$2,"o","-"))</f>
        <v>-</v>
      </c>
      <c r="P148" s="42" t="str">
        <f>IF($F148&gt;=P$2,"-",IF(IFERROR(VLOOKUP($G148,$U:$U,1,1),0)&gt;=P$2,"o","-"))</f>
        <v>-</v>
      </c>
      <c r="Q148" s="42" t="str">
        <f>IF($F148&gt;=Q$2,"-",IF(IFERROR(VLOOKUP($G148,$U:$U,1,1),0)&gt;=Q$2,"o","-"))</f>
        <v>-</v>
      </c>
      <c r="R148" s="42" t="str">
        <f>IF($F148&gt;=R$2,"-",IF(IFERROR(VLOOKUP($G148,$U:$U,1,1),0)&gt;=R$2,"o","-"))</f>
        <v>-</v>
      </c>
      <c r="S148" s="12">
        <f>IF(L148="o",50000,0)+IF(M148="o",100000,0)+IF(N148="o",200000,0)+IF(O148="o",400000,0)+IF(P148="o",600000,0)+IF(Q148="o",1000000,0)+IF(R148="o",2000000,0)</f>
        <v>50000</v>
      </c>
    </row>
    <row r="149" spans="2:19">
      <c r="B149" s="9">
        <v>144</v>
      </c>
      <c r="C149" s="10" t="s">
        <v>540</v>
      </c>
      <c r="D149" s="10" t="s">
        <v>777</v>
      </c>
      <c r="E149" s="82">
        <v>40736343</v>
      </c>
      <c r="F149" s="85">
        <f>IFERROR(VLOOKUP(D149,'1월'!D:F,3,0),)</f>
        <v>0</v>
      </c>
      <c r="G149" s="58">
        <v>2</v>
      </c>
      <c r="H149" s="58"/>
      <c r="I149" s="58"/>
      <c r="J149" s="58"/>
      <c r="K149" s="81"/>
      <c r="L149" s="42" t="str">
        <f>IF($F149&gt;=L$2,"-",IF(IFERROR(VLOOKUP($G149,$U:$U,1,1),0)&gt;=L$2,"o","-"))</f>
        <v>o</v>
      </c>
      <c r="M149" s="42" t="str">
        <f>IF($F149&gt;=M$2,"-",IF(IFERROR(VLOOKUP($G149,$U:$U,1,1),0)&gt;=M$2,"o","-"))</f>
        <v>-</v>
      </c>
      <c r="N149" s="42" t="str">
        <f>IF($F149&gt;=N$2,"-",IF(IFERROR(VLOOKUP($G149,$U:$U,1,1),0)&gt;=N$2,"o","-"))</f>
        <v>-</v>
      </c>
      <c r="O149" s="42" t="str">
        <f>IF($F149&gt;=O$2,"-",IF(IFERROR(VLOOKUP($G149,$U:$U,1,1),0)&gt;=O$2,"o","-"))</f>
        <v>-</v>
      </c>
      <c r="P149" s="42" t="str">
        <f>IF($F149&gt;=P$2,"-",IF(IFERROR(VLOOKUP($G149,$U:$U,1,1),0)&gt;=P$2,"o","-"))</f>
        <v>-</v>
      </c>
      <c r="Q149" s="42" t="str">
        <f>IF($F149&gt;=Q$2,"-",IF(IFERROR(VLOOKUP($G149,$U:$U,1,1),0)&gt;=Q$2,"o","-"))</f>
        <v>-</v>
      </c>
      <c r="R149" s="42" t="str">
        <f>IF($F149&gt;=R$2,"-",IF(IFERROR(VLOOKUP($G149,$U:$U,1,1),0)&gt;=R$2,"o","-"))</f>
        <v>-</v>
      </c>
      <c r="S149" s="12">
        <f>IF(L149="o",50000,0)+IF(M149="o",100000,0)+IF(N149="o",200000,0)+IF(O149="o",400000,0)+IF(P149="o",600000,0)+IF(Q149="o",1000000,0)+IF(R149="o",2000000,0)</f>
        <v>50000</v>
      </c>
    </row>
    <row r="150" spans="2:19">
      <c r="B150" s="9">
        <v>145</v>
      </c>
      <c r="C150" s="10" t="s">
        <v>541</v>
      </c>
      <c r="D150" s="10" t="s">
        <v>778</v>
      </c>
      <c r="E150" s="82">
        <v>32300714</v>
      </c>
      <c r="F150" s="85">
        <f>IFERROR(VLOOKUP(D150,'1월'!D:F,3,0),)</f>
        <v>0</v>
      </c>
      <c r="G150" s="58">
        <v>2</v>
      </c>
      <c r="H150" s="58"/>
      <c r="I150" s="58"/>
      <c r="J150" s="58"/>
      <c r="K150" s="81"/>
      <c r="L150" s="42" t="str">
        <f>IF($F150&gt;=L$2,"-",IF(IFERROR(VLOOKUP($G150,$U:$U,1,1),0)&gt;=L$2,"o","-"))</f>
        <v>o</v>
      </c>
      <c r="M150" s="42" t="str">
        <f>IF($F150&gt;=M$2,"-",IF(IFERROR(VLOOKUP($G150,$U:$U,1,1),0)&gt;=M$2,"o","-"))</f>
        <v>-</v>
      </c>
      <c r="N150" s="42" t="str">
        <f>IF($F150&gt;=N$2,"-",IF(IFERROR(VLOOKUP($G150,$U:$U,1,1),0)&gt;=N$2,"o","-"))</f>
        <v>-</v>
      </c>
      <c r="O150" s="42" t="str">
        <f>IF($F150&gt;=O$2,"-",IF(IFERROR(VLOOKUP($G150,$U:$U,1,1),0)&gt;=O$2,"o","-"))</f>
        <v>-</v>
      </c>
      <c r="P150" s="42" t="str">
        <f>IF($F150&gt;=P$2,"-",IF(IFERROR(VLOOKUP($G150,$U:$U,1,1),0)&gt;=P$2,"o","-"))</f>
        <v>-</v>
      </c>
      <c r="Q150" s="42" t="str">
        <f>IF($F150&gt;=Q$2,"-",IF(IFERROR(VLOOKUP($G150,$U:$U,1,1),0)&gt;=Q$2,"o","-"))</f>
        <v>-</v>
      </c>
      <c r="R150" s="42" t="str">
        <f>IF($F150&gt;=R$2,"-",IF(IFERROR(VLOOKUP($G150,$U:$U,1,1),0)&gt;=R$2,"o","-"))</f>
        <v>-</v>
      </c>
      <c r="S150" s="12">
        <f>IF(L150="o",50000,0)+IF(M150="o",100000,0)+IF(N150="o",200000,0)+IF(O150="o",400000,0)+IF(P150="o",600000,0)+IF(Q150="o",1000000,0)+IF(R150="o",2000000,0)</f>
        <v>50000</v>
      </c>
    </row>
    <row r="151" spans="2:19">
      <c r="B151" s="9">
        <v>146</v>
      </c>
      <c r="C151" s="10" t="s">
        <v>542</v>
      </c>
      <c r="D151" s="10" t="s">
        <v>779</v>
      </c>
      <c r="E151" s="82">
        <v>40717975</v>
      </c>
      <c r="F151" s="85">
        <f>IFERROR(VLOOKUP(D151,'1월'!D:F,3,0),)</f>
        <v>0</v>
      </c>
      <c r="G151" s="58">
        <v>2</v>
      </c>
      <c r="H151" s="58"/>
      <c r="I151" s="58"/>
      <c r="J151" s="58"/>
      <c r="K151" s="81"/>
      <c r="L151" s="42" t="str">
        <f>IF($F151&gt;=L$2,"-",IF(IFERROR(VLOOKUP($G151,$U:$U,1,1),0)&gt;=L$2,"o","-"))</f>
        <v>o</v>
      </c>
      <c r="M151" s="42" t="str">
        <f>IF($F151&gt;=M$2,"-",IF(IFERROR(VLOOKUP($G151,$U:$U,1,1),0)&gt;=M$2,"o","-"))</f>
        <v>-</v>
      </c>
      <c r="N151" s="42" t="str">
        <f>IF($F151&gt;=N$2,"-",IF(IFERROR(VLOOKUP($G151,$U:$U,1,1),0)&gt;=N$2,"o","-"))</f>
        <v>-</v>
      </c>
      <c r="O151" s="42" t="str">
        <f>IF($F151&gt;=O$2,"-",IF(IFERROR(VLOOKUP($G151,$U:$U,1,1),0)&gt;=O$2,"o","-"))</f>
        <v>-</v>
      </c>
      <c r="P151" s="42" t="str">
        <f>IF($F151&gt;=P$2,"-",IF(IFERROR(VLOOKUP($G151,$U:$U,1,1),0)&gt;=P$2,"o","-"))</f>
        <v>-</v>
      </c>
      <c r="Q151" s="42" t="str">
        <f>IF($F151&gt;=Q$2,"-",IF(IFERROR(VLOOKUP($G151,$U:$U,1,1),0)&gt;=Q$2,"o","-"))</f>
        <v>-</v>
      </c>
      <c r="R151" s="42" t="str">
        <f>IF($F151&gt;=R$2,"-",IF(IFERROR(VLOOKUP($G151,$U:$U,1,1),0)&gt;=R$2,"o","-"))</f>
        <v>-</v>
      </c>
      <c r="S151" s="12">
        <f>IF(L151="o",50000,0)+IF(M151="o",100000,0)+IF(N151="o",200000,0)+IF(O151="o",400000,0)+IF(P151="o",600000,0)+IF(Q151="o",1000000,0)+IF(R151="o",2000000,0)</f>
        <v>50000</v>
      </c>
    </row>
    <row r="152" spans="2:19">
      <c r="B152" s="9">
        <v>147</v>
      </c>
      <c r="C152" s="10" t="s">
        <v>543</v>
      </c>
      <c r="D152" s="10" t="s">
        <v>780</v>
      </c>
      <c r="E152" s="82">
        <v>42300489</v>
      </c>
      <c r="F152" s="85">
        <f>IFERROR(VLOOKUP(D152,'1월'!D:F,3,0),)</f>
        <v>0</v>
      </c>
      <c r="G152" s="58">
        <v>2</v>
      </c>
      <c r="H152" s="58"/>
      <c r="I152" s="58"/>
      <c r="J152" s="58"/>
      <c r="K152" s="81"/>
      <c r="L152" s="42" t="str">
        <f>IF($F152&gt;=L$2,"-",IF(IFERROR(VLOOKUP($G152,$U:$U,1,1),0)&gt;=L$2,"o","-"))</f>
        <v>o</v>
      </c>
      <c r="M152" s="42" t="str">
        <f>IF($F152&gt;=M$2,"-",IF(IFERROR(VLOOKUP($G152,$U:$U,1,1),0)&gt;=M$2,"o","-"))</f>
        <v>-</v>
      </c>
      <c r="N152" s="42" t="str">
        <f>IF($F152&gt;=N$2,"-",IF(IFERROR(VLOOKUP($G152,$U:$U,1,1),0)&gt;=N$2,"o","-"))</f>
        <v>-</v>
      </c>
      <c r="O152" s="42" t="str">
        <f>IF($F152&gt;=O$2,"-",IF(IFERROR(VLOOKUP($G152,$U:$U,1,1),0)&gt;=O$2,"o","-"))</f>
        <v>-</v>
      </c>
      <c r="P152" s="42" t="str">
        <f>IF($F152&gt;=P$2,"-",IF(IFERROR(VLOOKUP($G152,$U:$U,1,1),0)&gt;=P$2,"o","-"))</f>
        <v>-</v>
      </c>
      <c r="Q152" s="42" t="str">
        <f>IF($F152&gt;=Q$2,"-",IF(IFERROR(VLOOKUP($G152,$U:$U,1,1),0)&gt;=Q$2,"o","-"))</f>
        <v>-</v>
      </c>
      <c r="R152" s="42" t="str">
        <f>IF($F152&gt;=R$2,"-",IF(IFERROR(VLOOKUP($G152,$U:$U,1,1),0)&gt;=R$2,"o","-"))</f>
        <v>-</v>
      </c>
      <c r="S152" s="12">
        <f>IF(L152="o",50000,0)+IF(M152="o",100000,0)+IF(N152="o",200000,0)+IF(O152="o",400000,0)+IF(P152="o",600000,0)+IF(Q152="o",1000000,0)+IF(R152="o",2000000,0)</f>
        <v>50000</v>
      </c>
    </row>
    <row r="153" spans="2:19">
      <c r="B153" s="9">
        <v>148</v>
      </c>
      <c r="C153" s="10" t="s">
        <v>544</v>
      </c>
      <c r="D153" s="10" t="s">
        <v>781</v>
      </c>
      <c r="E153" s="82">
        <v>32502981</v>
      </c>
      <c r="F153" s="85">
        <f>IFERROR(VLOOKUP(D153,'1월'!D:F,3,0),)</f>
        <v>0</v>
      </c>
      <c r="G153" s="58">
        <v>2</v>
      </c>
      <c r="H153" s="58"/>
      <c r="I153" s="58"/>
      <c r="J153" s="58"/>
      <c r="K153" s="81"/>
      <c r="L153" s="42" t="str">
        <f>IF($F153&gt;=L$2,"-",IF(IFERROR(VLOOKUP($G153,$U:$U,1,1),0)&gt;=L$2,"o","-"))</f>
        <v>o</v>
      </c>
      <c r="M153" s="42" t="str">
        <f>IF($F153&gt;=M$2,"-",IF(IFERROR(VLOOKUP($G153,$U:$U,1,1),0)&gt;=M$2,"o","-"))</f>
        <v>-</v>
      </c>
      <c r="N153" s="42" t="str">
        <f>IF($F153&gt;=N$2,"-",IF(IFERROR(VLOOKUP($G153,$U:$U,1,1),0)&gt;=N$2,"o","-"))</f>
        <v>-</v>
      </c>
      <c r="O153" s="42" t="str">
        <f>IF($F153&gt;=O$2,"-",IF(IFERROR(VLOOKUP($G153,$U:$U,1,1),0)&gt;=O$2,"o","-"))</f>
        <v>-</v>
      </c>
      <c r="P153" s="42" t="str">
        <f>IF($F153&gt;=P$2,"-",IF(IFERROR(VLOOKUP($G153,$U:$U,1,1),0)&gt;=P$2,"o","-"))</f>
        <v>-</v>
      </c>
      <c r="Q153" s="42" t="str">
        <f>IF($F153&gt;=Q$2,"-",IF(IFERROR(VLOOKUP($G153,$U:$U,1,1),0)&gt;=Q$2,"o","-"))</f>
        <v>-</v>
      </c>
      <c r="R153" s="42" t="str">
        <f>IF($F153&gt;=R$2,"-",IF(IFERROR(VLOOKUP($G153,$U:$U,1,1),0)&gt;=R$2,"o","-"))</f>
        <v>-</v>
      </c>
      <c r="S153" s="12">
        <f>IF(L153="o",50000,0)+IF(M153="o",100000,0)+IF(N153="o",200000,0)+IF(O153="o",400000,0)+IF(P153="o",600000,0)+IF(Q153="o",1000000,0)+IF(R153="o",2000000,0)</f>
        <v>50000</v>
      </c>
    </row>
    <row r="154" spans="2:19">
      <c r="B154" s="9">
        <v>149</v>
      </c>
      <c r="C154" s="10" t="s">
        <v>545</v>
      </c>
      <c r="D154" s="10" t="s">
        <v>782</v>
      </c>
      <c r="E154" s="82">
        <v>29211528</v>
      </c>
      <c r="F154" s="85">
        <f>IFERROR(VLOOKUP(D154,'1월'!D:F,3,0),)</f>
        <v>0</v>
      </c>
      <c r="G154" s="58">
        <v>2</v>
      </c>
      <c r="H154" s="58"/>
      <c r="I154" s="58"/>
      <c r="J154" s="58"/>
      <c r="K154" s="81"/>
      <c r="L154" s="42" t="str">
        <f>IF($F154&gt;=L$2,"-",IF(IFERROR(VLOOKUP($G154,$U:$U,1,1),0)&gt;=L$2,"o","-"))</f>
        <v>o</v>
      </c>
      <c r="M154" s="42" t="str">
        <f>IF($F154&gt;=M$2,"-",IF(IFERROR(VLOOKUP($G154,$U:$U,1,1),0)&gt;=M$2,"o","-"))</f>
        <v>-</v>
      </c>
      <c r="N154" s="42" t="str">
        <f>IF($F154&gt;=N$2,"-",IF(IFERROR(VLOOKUP($G154,$U:$U,1,1),0)&gt;=N$2,"o","-"))</f>
        <v>-</v>
      </c>
      <c r="O154" s="42" t="str">
        <f>IF($F154&gt;=O$2,"-",IF(IFERROR(VLOOKUP($G154,$U:$U,1,1),0)&gt;=O$2,"o","-"))</f>
        <v>-</v>
      </c>
      <c r="P154" s="42" t="str">
        <f>IF($F154&gt;=P$2,"-",IF(IFERROR(VLOOKUP($G154,$U:$U,1,1),0)&gt;=P$2,"o","-"))</f>
        <v>-</v>
      </c>
      <c r="Q154" s="42" t="str">
        <f>IF($F154&gt;=Q$2,"-",IF(IFERROR(VLOOKUP($G154,$U:$U,1,1),0)&gt;=Q$2,"o","-"))</f>
        <v>-</v>
      </c>
      <c r="R154" s="42" t="str">
        <f>IF($F154&gt;=R$2,"-",IF(IFERROR(VLOOKUP($G154,$U:$U,1,1),0)&gt;=R$2,"o","-"))</f>
        <v>-</v>
      </c>
      <c r="S154" s="12">
        <f>IF(L154="o",50000,0)+IF(M154="o",100000,0)+IF(N154="o",200000,0)+IF(O154="o",400000,0)+IF(P154="o",600000,0)+IF(Q154="o",1000000,0)+IF(R154="o",2000000,0)</f>
        <v>50000</v>
      </c>
    </row>
    <row r="155" spans="2:19">
      <c r="B155" s="9">
        <v>150</v>
      </c>
      <c r="C155" s="10" t="s">
        <v>546</v>
      </c>
      <c r="D155" s="10" t="s">
        <v>783</v>
      </c>
      <c r="E155" s="82">
        <v>32001455</v>
      </c>
      <c r="F155" s="85">
        <f>IFERROR(VLOOKUP(D155,'1월'!D:F,3,0),)</f>
        <v>0</v>
      </c>
      <c r="G155" s="58">
        <v>2</v>
      </c>
      <c r="H155" s="58"/>
      <c r="I155" s="58"/>
      <c r="J155" s="58"/>
      <c r="K155" s="81"/>
      <c r="L155" s="42" t="str">
        <f>IF($F155&gt;=L$2,"-",IF(IFERROR(VLOOKUP($G155,$U:$U,1,1),0)&gt;=L$2,"o","-"))</f>
        <v>o</v>
      </c>
      <c r="M155" s="42" t="str">
        <f>IF($F155&gt;=M$2,"-",IF(IFERROR(VLOOKUP($G155,$U:$U,1,1),0)&gt;=M$2,"o","-"))</f>
        <v>-</v>
      </c>
      <c r="N155" s="42" t="str">
        <f>IF($F155&gt;=N$2,"-",IF(IFERROR(VLOOKUP($G155,$U:$U,1,1),0)&gt;=N$2,"o","-"))</f>
        <v>-</v>
      </c>
      <c r="O155" s="42" t="str">
        <f>IF($F155&gt;=O$2,"-",IF(IFERROR(VLOOKUP($G155,$U:$U,1,1),0)&gt;=O$2,"o","-"))</f>
        <v>-</v>
      </c>
      <c r="P155" s="42" t="str">
        <f>IF($F155&gt;=P$2,"-",IF(IFERROR(VLOOKUP($G155,$U:$U,1,1),0)&gt;=P$2,"o","-"))</f>
        <v>-</v>
      </c>
      <c r="Q155" s="42" t="str">
        <f>IF($F155&gt;=Q$2,"-",IF(IFERROR(VLOOKUP($G155,$U:$U,1,1),0)&gt;=Q$2,"o","-"))</f>
        <v>-</v>
      </c>
      <c r="R155" s="42" t="str">
        <f>IF($F155&gt;=R$2,"-",IF(IFERROR(VLOOKUP($G155,$U:$U,1,1),0)&gt;=R$2,"o","-"))</f>
        <v>-</v>
      </c>
      <c r="S155" s="12">
        <f>IF(L155="o",50000,0)+IF(M155="o",100000,0)+IF(N155="o",200000,0)+IF(O155="o",400000,0)+IF(P155="o",600000,0)+IF(Q155="o",1000000,0)+IF(R155="o",2000000,0)</f>
        <v>50000</v>
      </c>
    </row>
    <row r="156" spans="2:19">
      <c r="B156" s="9">
        <v>151</v>
      </c>
      <c r="C156" s="10" t="s">
        <v>547</v>
      </c>
      <c r="D156" s="10" t="s">
        <v>784</v>
      </c>
      <c r="E156" s="82">
        <v>42000798</v>
      </c>
      <c r="F156" s="85">
        <f>IFERROR(VLOOKUP(D156,'1월'!D:F,3,0),)</f>
        <v>0</v>
      </c>
      <c r="G156" s="58">
        <v>2</v>
      </c>
      <c r="H156" s="58"/>
      <c r="I156" s="58"/>
      <c r="J156" s="58"/>
      <c r="K156" s="81"/>
      <c r="L156" s="42" t="str">
        <f>IF($F156&gt;=L$2,"-",IF(IFERROR(VLOOKUP($G156,$U:$U,1,1),0)&gt;=L$2,"o","-"))</f>
        <v>o</v>
      </c>
      <c r="M156" s="42" t="str">
        <f>IF($F156&gt;=M$2,"-",IF(IFERROR(VLOOKUP($G156,$U:$U,1,1),0)&gt;=M$2,"o","-"))</f>
        <v>-</v>
      </c>
      <c r="N156" s="42" t="str">
        <f>IF($F156&gt;=N$2,"-",IF(IFERROR(VLOOKUP($G156,$U:$U,1,1),0)&gt;=N$2,"o","-"))</f>
        <v>-</v>
      </c>
      <c r="O156" s="42" t="str">
        <f>IF($F156&gt;=O$2,"-",IF(IFERROR(VLOOKUP($G156,$U:$U,1,1),0)&gt;=O$2,"o","-"))</f>
        <v>-</v>
      </c>
      <c r="P156" s="42" t="str">
        <f>IF($F156&gt;=P$2,"-",IF(IFERROR(VLOOKUP($G156,$U:$U,1,1),0)&gt;=P$2,"o","-"))</f>
        <v>-</v>
      </c>
      <c r="Q156" s="42" t="str">
        <f>IF($F156&gt;=Q$2,"-",IF(IFERROR(VLOOKUP($G156,$U:$U,1,1),0)&gt;=Q$2,"o","-"))</f>
        <v>-</v>
      </c>
      <c r="R156" s="42" t="str">
        <f>IF($F156&gt;=R$2,"-",IF(IFERROR(VLOOKUP($G156,$U:$U,1,1),0)&gt;=R$2,"o","-"))</f>
        <v>-</v>
      </c>
      <c r="S156" s="12">
        <f>IF(L156="o",50000,0)+IF(M156="o",100000,0)+IF(N156="o",200000,0)+IF(O156="o",400000,0)+IF(P156="o",600000,0)+IF(Q156="o",1000000,0)+IF(R156="o",2000000,0)</f>
        <v>50000</v>
      </c>
    </row>
    <row r="157" spans="2:19">
      <c r="B157" s="9">
        <v>152</v>
      </c>
      <c r="C157" s="10" t="s">
        <v>548</v>
      </c>
      <c r="D157" s="10" t="s">
        <v>785</v>
      </c>
      <c r="E157" s="82">
        <v>42404097</v>
      </c>
      <c r="F157" s="85">
        <f>IFERROR(VLOOKUP(D157,'1월'!D:F,3,0),)</f>
        <v>0</v>
      </c>
      <c r="G157" s="58">
        <v>2</v>
      </c>
      <c r="H157" s="58"/>
      <c r="I157" s="58"/>
      <c r="J157" s="58"/>
      <c r="K157" s="81"/>
      <c r="L157" s="42" t="str">
        <f>IF($F157&gt;=L$2,"-",IF(IFERROR(VLOOKUP($G157,$U:$U,1,1),0)&gt;=L$2,"o","-"))</f>
        <v>o</v>
      </c>
      <c r="M157" s="42" t="str">
        <f>IF($F157&gt;=M$2,"-",IF(IFERROR(VLOOKUP($G157,$U:$U,1,1),0)&gt;=M$2,"o","-"))</f>
        <v>-</v>
      </c>
      <c r="N157" s="42" t="str">
        <f>IF($F157&gt;=N$2,"-",IF(IFERROR(VLOOKUP($G157,$U:$U,1,1),0)&gt;=N$2,"o","-"))</f>
        <v>-</v>
      </c>
      <c r="O157" s="42" t="str">
        <f>IF($F157&gt;=O$2,"-",IF(IFERROR(VLOOKUP($G157,$U:$U,1,1),0)&gt;=O$2,"o","-"))</f>
        <v>-</v>
      </c>
      <c r="P157" s="42" t="str">
        <f>IF($F157&gt;=P$2,"-",IF(IFERROR(VLOOKUP($G157,$U:$U,1,1),0)&gt;=P$2,"o","-"))</f>
        <v>-</v>
      </c>
      <c r="Q157" s="42" t="str">
        <f>IF($F157&gt;=Q$2,"-",IF(IFERROR(VLOOKUP($G157,$U:$U,1,1),0)&gt;=Q$2,"o","-"))</f>
        <v>-</v>
      </c>
      <c r="R157" s="42" t="str">
        <f>IF($F157&gt;=R$2,"-",IF(IFERROR(VLOOKUP($G157,$U:$U,1,1),0)&gt;=R$2,"o","-"))</f>
        <v>-</v>
      </c>
      <c r="S157" s="12">
        <f>IF(L157="o",50000,0)+IF(M157="o",100000,0)+IF(N157="o",200000,0)+IF(O157="o",400000,0)+IF(P157="o",600000,0)+IF(Q157="o",1000000,0)+IF(R157="o",2000000,0)</f>
        <v>50000</v>
      </c>
    </row>
    <row r="158" spans="2:19">
      <c r="B158" s="9">
        <v>153</v>
      </c>
      <c r="C158" s="10" t="s">
        <v>549</v>
      </c>
      <c r="D158" s="10" t="s">
        <v>786</v>
      </c>
      <c r="E158" s="82">
        <v>40719036</v>
      </c>
      <c r="F158" s="85">
        <f>IFERROR(VLOOKUP(D158,'1월'!D:F,3,0),)</f>
        <v>0</v>
      </c>
      <c r="G158" s="58">
        <v>2</v>
      </c>
      <c r="H158" s="58"/>
      <c r="I158" s="58"/>
      <c r="J158" s="58"/>
      <c r="K158" s="81"/>
      <c r="L158" s="42" t="str">
        <f>IF($F158&gt;=L$2,"-",IF(IFERROR(VLOOKUP($G158,$U:$U,1,1),0)&gt;=L$2,"o","-"))</f>
        <v>o</v>
      </c>
      <c r="M158" s="42" t="str">
        <f>IF($F158&gt;=M$2,"-",IF(IFERROR(VLOOKUP($G158,$U:$U,1,1),0)&gt;=M$2,"o","-"))</f>
        <v>-</v>
      </c>
      <c r="N158" s="42" t="str">
        <f>IF($F158&gt;=N$2,"-",IF(IFERROR(VLOOKUP($G158,$U:$U,1,1),0)&gt;=N$2,"o","-"))</f>
        <v>-</v>
      </c>
      <c r="O158" s="42" t="str">
        <f>IF($F158&gt;=O$2,"-",IF(IFERROR(VLOOKUP($G158,$U:$U,1,1),0)&gt;=O$2,"o","-"))</f>
        <v>-</v>
      </c>
      <c r="P158" s="42" t="str">
        <f>IF($F158&gt;=P$2,"-",IF(IFERROR(VLOOKUP($G158,$U:$U,1,1),0)&gt;=P$2,"o","-"))</f>
        <v>-</v>
      </c>
      <c r="Q158" s="42" t="str">
        <f>IF($F158&gt;=Q$2,"-",IF(IFERROR(VLOOKUP($G158,$U:$U,1,1),0)&gt;=Q$2,"o","-"))</f>
        <v>-</v>
      </c>
      <c r="R158" s="42" t="str">
        <f>IF($F158&gt;=R$2,"-",IF(IFERROR(VLOOKUP($G158,$U:$U,1,1),0)&gt;=R$2,"o","-"))</f>
        <v>-</v>
      </c>
      <c r="S158" s="12">
        <f>IF(L158="o",50000,0)+IF(M158="o",100000,0)+IF(N158="o",200000,0)+IF(O158="o",400000,0)+IF(P158="o",600000,0)+IF(Q158="o",1000000,0)+IF(R158="o",2000000,0)</f>
        <v>50000</v>
      </c>
    </row>
    <row r="159" spans="2:19">
      <c r="B159" s="9">
        <v>154</v>
      </c>
      <c r="C159" s="10" t="s">
        <v>550</v>
      </c>
      <c r="D159" s="10" t="s">
        <v>787</v>
      </c>
      <c r="E159" s="82">
        <v>31107710</v>
      </c>
      <c r="F159" s="85">
        <f>IFERROR(VLOOKUP(D159,'1월'!D:F,3,0),)</f>
        <v>0</v>
      </c>
      <c r="G159" s="58">
        <v>2</v>
      </c>
      <c r="H159" s="58"/>
      <c r="I159" s="58"/>
      <c r="J159" s="58"/>
      <c r="K159" s="81"/>
      <c r="L159" s="42" t="str">
        <f>IF($F159&gt;=L$2,"-",IF(IFERROR(VLOOKUP($G159,$U:$U,1,1),0)&gt;=L$2,"o","-"))</f>
        <v>o</v>
      </c>
      <c r="M159" s="42" t="str">
        <f>IF($F159&gt;=M$2,"-",IF(IFERROR(VLOOKUP($G159,$U:$U,1,1),0)&gt;=M$2,"o","-"))</f>
        <v>-</v>
      </c>
      <c r="N159" s="42" t="str">
        <f>IF($F159&gt;=N$2,"-",IF(IFERROR(VLOOKUP($G159,$U:$U,1,1),0)&gt;=N$2,"o","-"))</f>
        <v>-</v>
      </c>
      <c r="O159" s="42" t="str">
        <f>IF($F159&gt;=O$2,"-",IF(IFERROR(VLOOKUP($G159,$U:$U,1,1),0)&gt;=O$2,"o","-"))</f>
        <v>-</v>
      </c>
      <c r="P159" s="42" t="str">
        <f>IF($F159&gt;=P$2,"-",IF(IFERROR(VLOOKUP($G159,$U:$U,1,1),0)&gt;=P$2,"o","-"))</f>
        <v>-</v>
      </c>
      <c r="Q159" s="42" t="str">
        <f>IF($F159&gt;=Q$2,"-",IF(IFERROR(VLOOKUP($G159,$U:$U,1,1),0)&gt;=Q$2,"o","-"))</f>
        <v>-</v>
      </c>
      <c r="R159" s="42" t="str">
        <f>IF($F159&gt;=R$2,"-",IF(IFERROR(VLOOKUP($G159,$U:$U,1,1),0)&gt;=R$2,"o","-"))</f>
        <v>-</v>
      </c>
      <c r="S159" s="12">
        <f>IF(L159="o",50000,0)+IF(M159="o",100000,0)+IF(N159="o",200000,0)+IF(O159="o",400000,0)+IF(P159="o",600000,0)+IF(Q159="o",1000000,0)+IF(R159="o",2000000,0)</f>
        <v>50000</v>
      </c>
    </row>
    <row r="160" spans="2:19">
      <c r="B160" s="9">
        <v>155</v>
      </c>
      <c r="C160" s="10" t="s">
        <v>551</v>
      </c>
      <c r="D160" s="10" t="s">
        <v>788</v>
      </c>
      <c r="E160" s="82">
        <v>41501414</v>
      </c>
      <c r="F160" s="85">
        <f>IFERROR(VLOOKUP(D160,'1월'!D:F,3,0),)</f>
        <v>0</v>
      </c>
      <c r="G160" s="58">
        <v>2</v>
      </c>
      <c r="H160" s="58"/>
      <c r="I160" s="58"/>
      <c r="J160" s="58"/>
      <c r="K160" s="81"/>
      <c r="L160" s="42" t="str">
        <f>IF($F160&gt;=L$2,"-",IF(IFERROR(VLOOKUP($G160,$U:$U,1,1),0)&gt;=L$2,"o","-"))</f>
        <v>o</v>
      </c>
      <c r="M160" s="42" t="str">
        <f>IF($F160&gt;=M$2,"-",IF(IFERROR(VLOOKUP($G160,$U:$U,1,1),0)&gt;=M$2,"o","-"))</f>
        <v>-</v>
      </c>
      <c r="N160" s="42" t="str">
        <f>IF($F160&gt;=N$2,"-",IF(IFERROR(VLOOKUP($G160,$U:$U,1,1),0)&gt;=N$2,"o","-"))</f>
        <v>-</v>
      </c>
      <c r="O160" s="42" t="str">
        <f>IF($F160&gt;=O$2,"-",IF(IFERROR(VLOOKUP($G160,$U:$U,1,1),0)&gt;=O$2,"o","-"))</f>
        <v>-</v>
      </c>
      <c r="P160" s="42" t="str">
        <f>IF($F160&gt;=P$2,"-",IF(IFERROR(VLOOKUP($G160,$U:$U,1,1),0)&gt;=P$2,"o","-"))</f>
        <v>-</v>
      </c>
      <c r="Q160" s="42" t="str">
        <f>IF($F160&gt;=Q$2,"-",IF(IFERROR(VLOOKUP($G160,$U:$U,1,1),0)&gt;=Q$2,"o","-"))</f>
        <v>-</v>
      </c>
      <c r="R160" s="42" t="str">
        <f>IF($F160&gt;=R$2,"-",IF(IFERROR(VLOOKUP($G160,$U:$U,1,1),0)&gt;=R$2,"o","-"))</f>
        <v>-</v>
      </c>
      <c r="S160" s="12">
        <f>IF(L160="o",50000,0)+IF(M160="o",100000,0)+IF(N160="o",200000,0)+IF(O160="o",400000,0)+IF(P160="o",600000,0)+IF(Q160="o",1000000,0)+IF(R160="o",2000000,0)</f>
        <v>50000</v>
      </c>
    </row>
    <row r="161" spans="2:19">
      <c r="B161" s="9">
        <v>156</v>
      </c>
      <c r="C161" s="10" t="s">
        <v>552</v>
      </c>
      <c r="D161" s="10" t="s">
        <v>789</v>
      </c>
      <c r="E161" s="82">
        <v>30701207</v>
      </c>
      <c r="F161" s="85">
        <f>IFERROR(VLOOKUP(D161,'1월'!D:F,3,0),)</f>
        <v>0</v>
      </c>
      <c r="G161" s="58">
        <v>2</v>
      </c>
      <c r="H161" s="58"/>
      <c r="I161" s="58"/>
      <c r="J161" s="58"/>
      <c r="K161" s="81"/>
      <c r="L161" s="42" t="str">
        <f>IF($F161&gt;=L$2,"-",IF(IFERROR(VLOOKUP($G161,$U:$U,1,1),0)&gt;=L$2,"o","-"))</f>
        <v>o</v>
      </c>
      <c r="M161" s="42" t="str">
        <f>IF($F161&gt;=M$2,"-",IF(IFERROR(VLOOKUP($G161,$U:$U,1,1),0)&gt;=M$2,"o","-"))</f>
        <v>-</v>
      </c>
      <c r="N161" s="42" t="str">
        <f>IF($F161&gt;=N$2,"-",IF(IFERROR(VLOOKUP($G161,$U:$U,1,1),0)&gt;=N$2,"o","-"))</f>
        <v>-</v>
      </c>
      <c r="O161" s="42" t="str">
        <f>IF($F161&gt;=O$2,"-",IF(IFERROR(VLOOKUP($G161,$U:$U,1,1),0)&gt;=O$2,"o","-"))</f>
        <v>-</v>
      </c>
      <c r="P161" s="42" t="str">
        <f>IF($F161&gt;=P$2,"-",IF(IFERROR(VLOOKUP($G161,$U:$U,1,1),0)&gt;=P$2,"o","-"))</f>
        <v>-</v>
      </c>
      <c r="Q161" s="42" t="str">
        <f>IF($F161&gt;=Q$2,"-",IF(IFERROR(VLOOKUP($G161,$U:$U,1,1),0)&gt;=Q$2,"o","-"))</f>
        <v>-</v>
      </c>
      <c r="R161" s="42" t="str">
        <f>IF($F161&gt;=R$2,"-",IF(IFERROR(VLOOKUP($G161,$U:$U,1,1),0)&gt;=R$2,"o","-"))</f>
        <v>-</v>
      </c>
      <c r="S161" s="12">
        <f>IF(L161="o",50000,0)+IF(M161="o",100000,0)+IF(N161="o",200000,0)+IF(O161="o",400000,0)+IF(P161="o",600000,0)+IF(Q161="o",1000000,0)+IF(R161="o",2000000,0)</f>
        <v>50000</v>
      </c>
    </row>
    <row r="162" spans="2:19">
      <c r="B162" s="9">
        <v>157</v>
      </c>
      <c r="C162" s="10" t="s">
        <v>553</v>
      </c>
      <c r="D162" s="10" t="s">
        <v>790</v>
      </c>
      <c r="E162" s="82">
        <v>41902798</v>
      </c>
      <c r="F162" s="85">
        <f>IFERROR(VLOOKUP(D162,'1월'!D:F,3,0),)</f>
        <v>0</v>
      </c>
      <c r="G162" s="58">
        <v>2</v>
      </c>
      <c r="H162" s="58"/>
      <c r="I162" s="58"/>
      <c r="J162" s="58"/>
      <c r="K162" s="81"/>
      <c r="L162" s="42" t="str">
        <f>IF($F162&gt;=L$2,"-",IF(IFERROR(VLOOKUP($G162,$U:$U,1,1),0)&gt;=L$2,"o","-"))</f>
        <v>o</v>
      </c>
      <c r="M162" s="42" t="str">
        <f>IF($F162&gt;=M$2,"-",IF(IFERROR(VLOOKUP($G162,$U:$U,1,1),0)&gt;=M$2,"o","-"))</f>
        <v>-</v>
      </c>
      <c r="N162" s="42" t="str">
        <f>IF($F162&gt;=N$2,"-",IF(IFERROR(VLOOKUP($G162,$U:$U,1,1),0)&gt;=N$2,"o","-"))</f>
        <v>-</v>
      </c>
      <c r="O162" s="42" t="str">
        <f>IF($F162&gt;=O$2,"-",IF(IFERROR(VLOOKUP($G162,$U:$U,1,1),0)&gt;=O$2,"o","-"))</f>
        <v>-</v>
      </c>
      <c r="P162" s="42" t="str">
        <f>IF($F162&gt;=P$2,"-",IF(IFERROR(VLOOKUP($G162,$U:$U,1,1),0)&gt;=P$2,"o","-"))</f>
        <v>-</v>
      </c>
      <c r="Q162" s="42" t="str">
        <f>IF($F162&gt;=Q$2,"-",IF(IFERROR(VLOOKUP($G162,$U:$U,1,1),0)&gt;=Q$2,"o","-"))</f>
        <v>-</v>
      </c>
      <c r="R162" s="42" t="str">
        <f>IF($F162&gt;=R$2,"-",IF(IFERROR(VLOOKUP($G162,$U:$U,1,1),0)&gt;=R$2,"o","-"))</f>
        <v>-</v>
      </c>
      <c r="S162" s="12">
        <f>IF(L162="o",50000,0)+IF(M162="o",100000,0)+IF(N162="o",200000,0)+IF(O162="o",400000,0)+IF(P162="o",600000,0)+IF(Q162="o",1000000,0)+IF(R162="o",2000000,0)</f>
        <v>50000</v>
      </c>
    </row>
    <row r="163" spans="2:19">
      <c r="B163" s="9">
        <v>158</v>
      </c>
      <c r="C163" s="10" t="s">
        <v>554</v>
      </c>
      <c r="D163" s="10" t="s">
        <v>791</v>
      </c>
      <c r="E163" s="82">
        <v>31900377</v>
      </c>
      <c r="F163" s="85">
        <f>IFERROR(VLOOKUP(D163,'1월'!D:F,3,0),)</f>
        <v>0</v>
      </c>
      <c r="G163" s="58">
        <v>2</v>
      </c>
      <c r="H163" s="58"/>
      <c r="I163" s="58"/>
      <c r="J163" s="58"/>
      <c r="K163" s="81"/>
      <c r="L163" s="42" t="str">
        <f>IF($F163&gt;=L$2,"-",IF(IFERROR(VLOOKUP($G163,$U:$U,1,1),0)&gt;=L$2,"o","-"))</f>
        <v>o</v>
      </c>
      <c r="M163" s="42" t="str">
        <f>IF($F163&gt;=M$2,"-",IF(IFERROR(VLOOKUP($G163,$U:$U,1,1),0)&gt;=M$2,"o","-"))</f>
        <v>-</v>
      </c>
      <c r="N163" s="42" t="str">
        <f>IF($F163&gt;=N$2,"-",IF(IFERROR(VLOOKUP($G163,$U:$U,1,1),0)&gt;=N$2,"o","-"))</f>
        <v>-</v>
      </c>
      <c r="O163" s="42" t="str">
        <f>IF($F163&gt;=O$2,"-",IF(IFERROR(VLOOKUP($G163,$U:$U,1,1),0)&gt;=O$2,"o","-"))</f>
        <v>-</v>
      </c>
      <c r="P163" s="42" t="str">
        <f>IF($F163&gt;=P$2,"-",IF(IFERROR(VLOOKUP($G163,$U:$U,1,1),0)&gt;=P$2,"o","-"))</f>
        <v>-</v>
      </c>
      <c r="Q163" s="42" t="str">
        <f>IF($F163&gt;=Q$2,"-",IF(IFERROR(VLOOKUP($G163,$U:$U,1,1),0)&gt;=Q$2,"o","-"))</f>
        <v>-</v>
      </c>
      <c r="R163" s="42" t="str">
        <f>IF($F163&gt;=R$2,"-",IF(IFERROR(VLOOKUP($G163,$U:$U,1,1),0)&gt;=R$2,"o","-"))</f>
        <v>-</v>
      </c>
      <c r="S163" s="12">
        <f>IF(L163="o",50000,0)+IF(M163="o",100000,0)+IF(N163="o",200000,0)+IF(O163="o",400000,0)+IF(P163="o",600000,0)+IF(Q163="o",1000000,0)+IF(R163="o",2000000,0)</f>
        <v>50000</v>
      </c>
    </row>
    <row r="164" spans="2:19">
      <c r="B164" s="9">
        <v>159</v>
      </c>
      <c r="C164" s="10" t="s">
        <v>555</v>
      </c>
      <c r="D164" s="10" t="s">
        <v>792</v>
      </c>
      <c r="E164" s="82">
        <v>41806740</v>
      </c>
      <c r="F164" s="85">
        <f>IFERROR(VLOOKUP(D164,'1월'!D:F,3,0),)</f>
        <v>0</v>
      </c>
      <c r="G164" s="58">
        <v>2</v>
      </c>
      <c r="H164" s="58"/>
      <c r="I164" s="58"/>
      <c r="J164" s="58"/>
      <c r="K164" s="81"/>
      <c r="L164" s="42" t="str">
        <f>IF($F164&gt;=L$2,"-",IF(IFERROR(VLOOKUP($G164,$U:$U,1,1),0)&gt;=L$2,"o","-"))</f>
        <v>o</v>
      </c>
      <c r="M164" s="42" t="str">
        <f>IF($F164&gt;=M$2,"-",IF(IFERROR(VLOOKUP($G164,$U:$U,1,1),0)&gt;=M$2,"o","-"))</f>
        <v>-</v>
      </c>
      <c r="N164" s="42" t="str">
        <f>IF($F164&gt;=N$2,"-",IF(IFERROR(VLOOKUP($G164,$U:$U,1,1),0)&gt;=N$2,"o","-"))</f>
        <v>-</v>
      </c>
      <c r="O164" s="42" t="str">
        <f>IF($F164&gt;=O$2,"-",IF(IFERROR(VLOOKUP($G164,$U:$U,1,1),0)&gt;=O$2,"o","-"))</f>
        <v>-</v>
      </c>
      <c r="P164" s="42" t="str">
        <f>IF($F164&gt;=P$2,"-",IF(IFERROR(VLOOKUP($G164,$U:$U,1,1),0)&gt;=P$2,"o","-"))</f>
        <v>-</v>
      </c>
      <c r="Q164" s="42" t="str">
        <f>IF($F164&gt;=Q$2,"-",IF(IFERROR(VLOOKUP($G164,$U:$U,1,1),0)&gt;=Q$2,"o","-"))</f>
        <v>-</v>
      </c>
      <c r="R164" s="42" t="str">
        <f>IF($F164&gt;=R$2,"-",IF(IFERROR(VLOOKUP($G164,$U:$U,1,1),0)&gt;=R$2,"o","-"))</f>
        <v>-</v>
      </c>
      <c r="S164" s="12">
        <f>IF(L164="o",50000,0)+IF(M164="o",100000,0)+IF(N164="o",200000,0)+IF(O164="o",400000,0)+IF(P164="o",600000,0)+IF(Q164="o",1000000,0)+IF(R164="o",2000000,0)</f>
        <v>50000</v>
      </c>
    </row>
    <row r="165" spans="2:19">
      <c r="B165" s="9">
        <v>160</v>
      </c>
      <c r="C165" s="10" t="s">
        <v>556</v>
      </c>
      <c r="D165" s="10" t="s">
        <v>793</v>
      </c>
      <c r="E165" s="82">
        <v>32406997</v>
      </c>
      <c r="F165" s="85">
        <f>IFERROR(VLOOKUP(D165,'1월'!D:F,3,0),)</f>
        <v>0</v>
      </c>
      <c r="G165" s="58">
        <v>2</v>
      </c>
      <c r="H165" s="58"/>
      <c r="I165" s="58"/>
      <c r="J165" s="58"/>
      <c r="K165" s="81"/>
      <c r="L165" s="42" t="str">
        <f>IF($F165&gt;=L$2,"-",IF(IFERROR(VLOOKUP($G165,$U:$U,1,1),0)&gt;=L$2,"o","-"))</f>
        <v>o</v>
      </c>
      <c r="M165" s="42" t="str">
        <f>IF($F165&gt;=M$2,"-",IF(IFERROR(VLOOKUP($G165,$U:$U,1,1),0)&gt;=M$2,"o","-"))</f>
        <v>-</v>
      </c>
      <c r="N165" s="42" t="str">
        <f>IF($F165&gt;=N$2,"-",IF(IFERROR(VLOOKUP($G165,$U:$U,1,1),0)&gt;=N$2,"o","-"))</f>
        <v>-</v>
      </c>
      <c r="O165" s="42" t="str">
        <f>IF($F165&gt;=O$2,"-",IF(IFERROR(VLOOKUP($G165,$U:$U,1,1),0)&gt;=O$2,"o","-"))</f>
        <v>-</v>
      </c>
      <c r="P165" s="42" t="str">
        <f>IF($F165&gt;=P$2,"-",IF(IFERROR(VLOOKUP($G165,$U:$U,1,1),0)&gt;=P$2,"o","-"))</f>
        <v>-</v>
      </c>
      <c r="Q165" s="42" t="str">
        <f>IF($F165&gt;=Q$2,"-",IF(IFERROR(VLOOKUP($G165,$U:$U,1,1),0)&gt;=Q$2,"o","-"))</f>
        <v>-</v>
      </c>
      <c r="R165" s="42" t="str">
        <f>IF($F165&gt;=R$2,"-",IF(IFERROR(VLOOKUP($G165,$U:$U,1,1),0)&gt;=R$2,"o","-"))</f>
        <v>-</v>
      </c>
      <c r="S165" s="12">
        <f>IF(L165="o",50000,0)+IF(M165="o",100000,0)+IF(N165="o",200000,0)+IF(O165="o",400000,0)+IF(P165="o",600000,0)+IF(Q165="o",1000000,0)+IF(R165="o",2000000,0)</f>
        <v>50000</v>
      </c>
    </row>
    <row r="166" spans="2:19">
      <c r="B166" s="9">
        <v>161</v>
      </c>
      <c r="C166" s="10" t="s">
        <v>557</v>
      </c>
      <c r="D166" s="10" t="s">
        <v>794</v>
      </c>
      <c r="E166" s="82">
        <v>31501244</v>
      </c>
      <c r="F166" s="85">
        <f>IFERROR(VLOOKUP(D166,'1월'!D:F,3,0),)</f>
        <v>0</v>
      </c>
      <c r="G166" s="58">
        <v>2</v>
      </c>
      <c r="H166" s="58"/>
      <c r="I166" s="58"/>
      <c r="J166" s="58"/>
      <c r="K166" s="81"/>
      <c r="L166" s="42" t="str">
        <f>IF($F166&gt;=L$2,"-",IF(IFERROR(VLOOKUP($G166,$U:$U,1,1),0)&gt;=L$2,"o","-"))</f>
        <v>o</v>
      </c>
      <c r="M166" s="42" t="str">
        <f>IF($F166&gt;=M$2,"-",IF(IFERROR(VLOOKUP($G166,$U:$U,1,1),0)&gt;=M$2,"o","-"))</f>
        <v>-</v>
      </c>
      <c r="N166" s="42" t="str">
        <f>IF($F166&gt;=N$2,"-",IF(IFERROR(VLOOKUP($G166,$U:$U,1,1),0)&gt;=N$2,"o","-"))</f>
        <v>-</v>
      </c>
      <c r="O166" s="42" t="str">
        <f>IF($F166&gt;=O$2,"-",IF(IFERROR(VLOOKUP($G166,$U:$U,1,1),0)&gt;=O$2,"o","-"))</f>
        <v>-</v>
      </c>
      <c r="P166" s="42" t="str">
        <f>IF($F166&gt;=P$2,"-",IF(IFERROR(VLOOKUP($G166,$U:$U,1,1),0)&gt;=P$2,"o","-"))</f>
        <v>-</v>
      </c>
      <c r="Q166" s="42" t="str">
        <f>IF($F166&gt;=Q$2,"-",IF(IFERROR(VLOOKUP($G166,$U:$U,1,1),0)&gt;=Q$2,"o","-"))</f>
        <v>-</v>
      </c>
      <c r="R166" s="42" t="str">
        <f>IF($F166&gt;=R$2,"-",IF(IFERROR(VLOOKUP($G166,$U:$U,1,1),0)&gt;=R$2,"o","-"))</f>
        <v>-</v>
      </c>
      <c r="S166" s="12">
        <f>IF(L166="o",50000,0)+IF(M166="o",100000,0)+IF(N166="o",200000,0)+IF(O166="o",400000,0)+IF(P166="o",600000,0)+IF(Q166="o",1000000,0)+IF(R166="o",2000000,0)</f>
        <v>50000</v>
      </c>
    </row>
    <row r="167" spans="2:19">
      <c r="B167" s="9">
        <v>162</v>
      </c>
      <c r="C167" s="10" t="s">
        <v>558</v>
      </c>
      <c r="D167" s="10" t="s">
        <v>795</v>
      </c>
      <c r="E167" s="82">
        <v>41501964</v>
      </c>
      <c r="F167" s="85">
        <f>IFERROR(VLOOKUP(D167,'1월'!D:F,3,0),)</f>
        <v>0</v>
      </c>
      <c r="G167" s="58">
        <v>2</v>
      </c>
      <c r="H167" s="58"/>
      <c r="I167" s="58"/>
      <c r="J167" s="58"/>
      <c r="K167" s="81"/>
      <c r="L167" s="42" t="str">
        <f>IF($F167&gt;=L$2,"-",IF(IFERROR(VLOOKUP($G167,$U:$U,1,1),0)&gt;=L$2,"o","-"))</f>
        <v>o</v>
      </c>
      <c r="M167" s="42" t="str">
        <f>IF($F167&gt;=M$2,"-",IF(IFERROR(VLOOKUP($G167,$U:$U,1,1),0)&gt;=M$2,"o","-"))</f>
        <v>-</v>
      </c>
      <c r="N167" s="42" t="str">
        <f>IF($F167&gt;=N$2,"-",IF(IFERROR(VLOOKUP($G167,$U:$U,1,1),0)&gt;=N$2,"o","-"))</f>
        <v>-</v>
      </c>
      <c r="O167" s="42" t="str">
        <f>IF($F167&gt;=O$2,"-",IF(IFERROR(VLOOKUP($G167,$U:$U,1,1),0)&gt;=O$2,"o","-"))</f>
        <v>-</v>
      </c>
      <c r="P167" s="42" t="str">
        <f>IF($F167&gt;=P$2,"-",IF(IFERROR(VLOOKUP($G167,$U:$U,1,1),0)&gt;=P$2,"o","-"))</f>
        <v>-</v>
      </c>
      <c r="Q167" s="42" t="str">
        <f>IF($F167&gt;=Q$2,"-",IF(IFERROR(VLOOKUP($G167,$U:$U,1,1),0)&gt;=Q$2,"o","-"))</f>
        <v>-</v>
      </c>
      <c r="R167" s="42" t="str">
        <f>IF($F167&gt;=R$2,"-",IF(IFERROR(VLOOKUP($G167,$U:$U,1,1),0)&gt;=R$2,"o","-"))</f>
        <v>-</v>
      </c>
      <c r="S167" s="12">
        <f>IF(L167="o",50000,0)+IF(M167="o",100000,0)+IF(N167="o",200000,0)+IF(O167="o",400000,0)+IF(P167="o",600000,0)+IF(Q167="o",1000000,0)+IF(R167="o",2000000,0)</f>
        <v>50000</v>
      </c>
    </row>
    <row r="168" spans="2:19">
      <c r="B168" s="9">
        <v>163</v>
      </c>
      <c r="C168" s="10" t="s">
        <v>559</v>
      </c>
      <c r="D168" s="10" t="s">
        <v>796</v>
      </c>
      <c r="E168" s="82">
        <v>40706382</v>
      </c>
      <c r="F168" s="85">
        <f>IFERROR(VLOOKUP(D168,'1월'!D:F,3,0),)</f>
        <v>0</v>
      </c>
      <c r="G168" s="58">
        <v>2</v>
      </c>
      <c r="H168" s="58"/>
      <c r="I168" s="58"/>
      <c r="J168" s="58"/>
      <c r="K168" s="81"/>
      <c r="L168" s="42" t="str">
        <f>IF($F168&gt;=L$2,"-",IF(IFERROR(VLOOKUP($G168,$U:$U,1,1),0)&gt;=L$2,"o","-"))</f>
        <v>o</v>
      </c>
      <c r="M168" s="42" t="str">
        <f>IF($F168&gt;=M$2,"-",IF(IFERROR(VLOOKUP($G168,$U:$U,1,1),0)&gt;=M$2,"o","-"))</f>
        <v>-</v>
      </c>
      <c r="N168" s="42" t="str">
        <f>IF($F168&gt;=N$2,"-",IF(IFERROR(VLOOKUP($G168,$U:$U,1,1),0)&gt;=N$2,"o","-"))</f>
        <v>-</v>
      </c>
      <c r="O168" s="42" t="str">
        <f>IF($F168&gt;=O$2,"-",IF(IFERROR(VLOOKUP($G168,$U:$U,1,1),0)&gt;=O$2,"o","-"))</f>
        <v>-</v>
      </c>
      <c r="P168" s="42" t="str">
        <f>IF($F168&gt;=P$2,"-",IF(IFERROR(VLOOKUP($G168,$U:$U,1,1),0)&gt;=P$2,"o","-"))</f>
        <v>-</v>
      </c>
      <c r="Q168" s="42" t="str">
        <f>IF($F168&gt;=Q$2,"-",IF(IFERROR(VLOOKUP($G168,$U:$U,1,1),0)&gt;=Q$2,"o","-"))</f>
        <v>-</v>
      </c>
      <c r="R168" s="42" t="str">
        <f>IF($F168&gt;=R$2,"-",IF(IFERROR(VLOOKUP($G168,$U:$U,1,1),0)&gt;=R$2,"o","-"))</f>
        <v>-</v>
      </c>
      <c r="S168" s="12">
        <f>IF(L168="o",50000,0)+IF(M168="o",100000,0)+IF(N168="o",200000,0)+IF(O168="o",400000,0)+IF(P168="o",600000,0)+IF(Q168="o",1000000,0)+IF(R168="o",2000000,0)</f>
        <v>50000</v>
      </c>
    </row>
    <row r="169" spans="2:19">
      <c r="B169" s="9">
        <v>164</v>
      </c>
      <c r="C169" s="10" t="s">
        <v>560</v>
      </c>
      <c r="D169" s="10" t="s">
        <v>797</v>
      </c>
      <c r="E169" s="82">
        <v>42302694</v>
      </c>
      <c r="F169" s="85">
        <f>IFERROR(VLOOKUP(D169,'1월'!D:F,3,0),)</f>
        <v>0</v>
      </c>
      <c r="G169" s="58">
        <v>2</v>
      </c>
      <c r="H169" s="58"/>
      <c r="I169" s="58"/>
      <c r="J169" s="58"/>
      <c r="K169" s="81"/>
      <c r="L169" s="42" t="str">
        <f>IF($F169&gt;=L$2,"-",IF(IFERROR(VLOOKUP($G169,$U:$U,1,1),0)&gt;=L$2,"o","-"))</f>
        <v>o</v>
      </c>
      <c r="M169" s="42" t="str">
        <f>IF($F169&gt;=M$2,"-",IF(IFERROR(VLOOKUP($G169,$U:$U,1,1),0)&gt;=M$2,"o","-"))</f>
        <v>-</v>
      </c>
      <c r="N169" s="42" t="str">
        <f>IF($F169&gt;=N$2,"-",IF(IFERROR(VLOOKUP($G169,$U:$U,1,1),0)&gt;=N$2,"o","-"))</f>
        <v>-</v>
      </c>
      <c r="O169" s="42" t="str">
        <f>IF($F169&gt;=O$2,"-",IF(IFERROR(VLOOKUP($G169,$U:$U,1,1),0)&gt;=O$2,"o","-"))</f>
        <v>-</v>
      </c>
      <c r="P169" s="42" t="str">
        <f>IF($F169&gt;=P$2,"-",IF(IFERROR(VLOOKUP($G169,$U:$U,1,1),0)&gt;=P$2,"o","-"))</f>
        <v>-</v>
      </c>
      <c r="Q169" s="42" t="str">
        <f>IF($F169&gt;=Q$2,"-",IF(IFERROR(VLOOKUP($G169,$U:$U,1,1),0)&gt;=Q$2,"o","-"))</f>
        <v>-</v>
      </c>
      <c r="R169" s="42" t="str">
        <f>IF($F169&gt;=R$2,"-",IF(IFERROR(VLOOKUP($G169,$U:$U,1,1),0)&gt;=R$2,"o","-"))</f>
        <v>-</v>
      </c>
      <c r="S169" s="12">
        <f>IF(L169="o",50000,0)+IF(M169="o",100000,0)+IF(N169="o",200000,0)+IF(O169="o",400000,0)+IF(P169="o",600000,0)+IF(Q169="o",1000000,0)+IF(R169="o",2000000,0)</f>
        <v>50000</v>
      </c>
    </row>
    <row r="170" spans="2:19">
      <c r="B170" s="9">
        <v>165</v>
      </c>
      <c r="C170" s="10" t="s">
        <v>561</v>
      </c>
      <c r="D170" s="10" t="s">
        <v>798</v>
      </c>
      <c r="E170" s="82">
        <v>40718280</v>
      </c>
      <c r="F170" s="85">
        <f>IFERROR(VLOOKUP(D170,'1월'!D:F,3,0),)</f>
        <v>0</v>
      </c>
      <c r="G170" s="58">
        <v>2</v>
      </c>
      <c r="H170" s="58"/>
      <c r="I170" s="58"/>
      <c r="J170" s="58"/>
      <c r="K170" s="81"/>
      <c r="L170" s="42" t="str">
        <f>IF($F170&gt;=L$2,"-",IF(IFERROR(VLOOKUP($G170,$U:$U,1,1),0)&gt;=L$2,"o","-"))</f>
        <v>o</v>
      </c>
      <c r="M170" s="42" t="str">
        <f>IF($F170&gt;=M$2,"-",IF(IFERROR(VLOOKUP($G170,$U:$U,1,1),0)&gt;=M$2,"o","-"))</f>
        <v>-</v>
      </c>
      <c r="N170" s="42" t="str">
        <f>IF($F170&gt;=N$2,"-",IF(IFERROR(VLOOKUP($G170,$U:$U,1,1),0)&gt;=N$2,"o","-"))</f>
        <v>-</v>
      </c>
      <c r="O170" s="42" t="str">
        <f>IF($F170&gt;=O$2,"-",IF(IFERROR(VLOOKUP($G170,$U:$U,1,1),0)&gt;=O$2,"o","-"))</f>
        <v>-</v>
      </c>
      <c r="P170" s="42" t="str">
        <f>IF($F170&gt;=P$2,"-",IF(IFERROR(VLOOKUP($G170,$U:$U,1,1),0)&gt;=P$2,"o","-"))</f>
        <v>-</v>
      </c>
      <c r="Q170" s="42" t="str">
        <f>IF($F170&gt;=Q$2,"-",IF(IFERROR(VLOOKUP($G170,$U:$U,1,1),0)&gt;=Q$2,"o","-"))</f>
        <v>-</v>
      </c>
      <c r="R170" s="42" t="str">
        <f>IF($F170&gt;=R$2,"-",IF(IFERROR(VLOOKUP($G170,$U:$U,1,1),0)&gt;=R$2,"o","-"))</f>
        <v>-</v>
      </c>
      <c r="S170" s="12">
        <f>IF(L170="o",50000,0)+IF(M170="o",100000,0)+IF(N170="o",200000,0)+IF(O170="o",400000,0)+IF(P170="o",600000,0)+IF(Q170="o",1000000,0)+IF(R170="o",2000000,0)</f>
        <v>50000</v>
      </c>
    </row>
    <row r="171" spans="2:19">
      <c r="B171" s="9">
        <v>166</v>
      </c>
      <c r="C171" s="10" t="s">
        <v>562</v>
      </c>
      <c r="D171" s="10" t="s">
        <v>799</v>
      </c>
      <c r="E171" s="82">
        <v>31400336</v>
      </c>
      <c r="F171" s="85">
        <f>IFERROR(VLOOKUP(D171,'1월'!D:F,3,0),)</f>
        <v>0</v>
      </c>
      <c r="G171" s="58">
        <v>2</v>
      </c>
      <c r="H171" s="58"/>
      <c r="I171" s="58"/>
      <c r="J171" s="58"/>
      <c r="K171" s="81"/>
      <c r="L171" s="42" t="str">
        <f>IF($F171&gt;=L$2,"-",IF(IFERROR(VLOOKUP($G171,$U:$U,1,1),0)&gt;=L$2,"o","-"))</f>
        <v>o</v>
      </c>
      <c r="M171" s="42" t="str">
        <f>IF($F171&gt;=M$2,"-",IF(IFERROR(VLOOKUP($G171,$U:$U,1,1),0)&gt;=M$2,"o","-"))</f>
        <v>-</v>
      </c>
      <c r="N171" s="42" t="str">
        <f>IF($F171&gt;=N$2,"-",IF(IFERROR(VLOOKUP($G171,$U:$U,1,1),0)&gt;=N$2,"o","-"))</f>
        <v>-</v>
      </c>
      <c r="O171" s="42" t="str">
        <f>IF($F171&gt;=O$2,"-",IF(IFERROR(VLOOKUP($G171,$U:$U,1,1),0)&gt;=O$2,"o","-"))</f>
        <v>-</v>
      </c>
      <c r="P171" s="42" t="str">
        <f>IF($F171&gt;=P$2,"-",IF(IFERROR(VLOOKUP($G171,$U:$U,1,1),0)&gt;=P$2,"o","-"))</f>
        <v>-</v>
      </c>
      <c r="Q171" s="42" t="str">
        <f>IF($F171&gt;=Q$2,"-",IF(IFERROR(VLOOKUP($G171,$U:$U,1,1),0)&gt;=Q$2,"o","-"))</f>
        <v>-</v>
      </c>
      <c r="R171" s="42" t="str">
        <f>IF($F171&gt;=R$2,"-",IF(IFERROR(VLOOKUP($G171,$U:$U,1,1),0)&gt;=R$2,"o","-"))</f>
        <v>-</v>
      </c>
      <c r="S171" s="12">
        <f>IF(L171="o",50000,0)+IF(M171="o",100000,0)+IF(N171="o",200000,0)+IF(O171="o",400000,0)+IF(P171="o",600000,0)+IF(Q171="o",1000000,0)+IF(R171="o",2000000,0)</f>
        <v>50000</v>
      </c>
    </row>
    <row r="172" spans="2:19">
      <c r="B172" s="9">
        <v>167</v>
      </c>
      <c r="C172" s="10" t="s">
        <v>563</v>
      </c>
      <c r="D172" s="10" t="s">
        <v>800</v>
      </c>
      <c r="E172" s="82">
        <v>41602232</v>
      </c>
      <c r="F172" s="85">
        <f>IFERROR(VLOOKUP(D172,'1월'!D:F,3,0),)</f>
        <v>0</v>
      </c>
      <c r="G172" s="58">
        <v>2</v>
      </c>
      <c r="H172" s="58"/>
      <c r="I172" s="58"/>
      <c r="J172" s="58"/>
      <c r="K172" s="81"/>
      <c r="L172" s="42" t="str">
        <f>IF($F172&gt;=L$2,"-",IF(IFERROR(VLOOKUP($G172,$U:$U,1,1),0)&gt;=L$2,"o","-"))</f>
        <v>o</v>
      </c>
      <c r="M172" s="42" t="str">
        <f>IF($F172&gt;=M$2,"-",IF(IFERROR(VLOOKUP($G172,$U:$U,1,1),0)&gt;=M$2,"o","-"))</f>
        <v>-</v>
      </c>
      <c r="N172" s="42" t="str">
        <f>IF($F172&gt;=N$2,"-",IF(IFERROR(VLOOKUP($G172,$U:$U,1,1),0)&gt;=N$2,"o","-"))</f>
        <v>-</v>
      </c>
      <c r="O172" s="42" t="str">
        <f>IF($F172&gt;=O$2,"-",IF(IFERROR(VLOOKUP($G172,$U:$U,1,1),0)&gt;=O$2,"o","-"))</f>
        <v>-</v>
      </c>
      <c r="P172" s="42" t="str">
        <f>IF($F172&gt;=P$2,"-",IF(IFERROR(VLOOKUP($G172,$U:$U,1,1),0)&gt;=P$2,"o","-"))</f>
        <v>-</v>
      </c>
      <c r="Q172" s="42" t="str">
        <f>IF($F172&gt;=Q$2,"-",IF(IFERROR(VLOOKUP($G172,$U:$U,1,1),0)&gt;=Q$2,"o","-"))</f>
        <v>-</v>
      </c>
      <c r="R172" s="42" t="str">
        <f>IF($F172&gt;=R$2,"-",IF(IFERROR(VLOOKUP($G172,$U:$U,1,1),0)&gt;=R$2,"o","-"))</f>
        <v>-</v>
      </c>
      <c r="S172" s="12">
        <f>IF(L172="o",50000,0)+IF(M172="o",100000,0)+IF(N172="o",200000,0)+IF(O172="o",400000,0)+IF(P172="o",600000,0)+IF(Q172="o",1000000,0)+IF(R172="o",2000000,0)</f>
        <v>50000</v>
      </c>
    </row>
    <row r="173" spans="2:19">
      <c r="B173" s="9">
        <v>168</v>
      </c>
      <c r="C173" s="10" t="s">
        <v>564</v>
      </c>
      <c r="D173" s="10" t="s">
        <v>801</v>
      </c>
      <c r="E173" s="82">
        <v>31401489</v>
      </c>
      <c r="F173" s="85">
        <f>IFERROR(VLOOKUP(D173,'1월'!D:F,3,0),)</f>
        <v>0</v>
      </c>
      <c r="G173" s="58">
        <v>2</v>
      </c>
      <c r="H173" s="58"/>
      <c r="I173" s="58"/>
      <c r="J173" s="58"/>
      <c r="K173" s="81"/>
      <c r="L173" s="42" t="str">
        <f>IF($F173&gt;=L$2,"-",IF(IFERROR(VLOOKUP($G173,$U:$U,1,1),0)&gt;=L$2,"o","-"))</f>
        <v>o</v>
      </c>
      <c r="M173" s="42" t="str">
        <f>IF($F173&gt;=M$2,"-",IF(IFERROR(VLOOKUP($G173,$U:$U,1,1),0)&gt;=M$2,"o","-"))</f>
        <v>-</v>
      </c>
      <c r="N173" s="42" t="str">
        <f>IF($F173&gt;=N$2,"-",IF(IFERROR(VLOOKUP($G173,$U:$U,1,1),0)&gt;=N$2,"o","-"))</f>
        <v>-</v>
      </c>
      <c r="O173" s="42" t="str">
        <f>IF($F173&gt;=O$2,"-",IF(IFERROR(VLOOKUP($G173,$U:$U,1,1),0)&gt;=O$2,"o","-"))</f>
        <v>-</v>
      </c>
      <c r="P173" s="42" t="str">
        <f>IF($F173&gt;=P$2,"-",IF(IFERROR(VLOOKUP($G173,$U:$U,1,1),0)&gt;=P$2,"o","-"))</f>
        <v>-</v>
      </c>
      <c r="Q173" s="42" t="str">
        <f>IF($F173&gt;=Q$2,"-",IF(IFERROR(VLOOKUP($G173,$U:$U,1,1),0)&gt;=Q$2,"o","-"))</f>
        <v>-</v>
      </c>
      <c r="R173" s="42" t="str">
        <f>IF($F173&gt;=R$2,"-",IF(IFERROR(VLOOKUP($G173,$U:$U,1,1),0)&gt;=R$2,"o","-"))</f>
        <v>-</v>
      </c>
      <c r="S173" s="12">
        <f>IF(L173="o",50000,0)+IF(M173="o",100000,0)+IF(N173="o",200000,0)+IF(O173="o",400000,0)+IF(P173="o",600000,0)+IF(Q173="o",1000000,0)+IF(R173="o",2000000,0)</f>
        <v>50000</v>
      </c>
    </row>
    <row r="174" spans="2:19">
      <c r="B174" s="9">
        <v>169</v>
      </c>
      <c r="C174" s="10" t="s">
        <v>565</v>
      </c>
      <c r="D174" s="10" t="s">
        <v>802</v>
      </c>
      <c r="E174" s="82">
        <v>31801241</v>
      </c>
      <c r="F174" s="85">
        <f>IFERROR(VLOOKUP(D174,'1월'!D:F,3,0),)</f>
        <v>0</v>
      </c>
      <c r="G174" s="58">
        <v>2</v>
      </c>
      <c r="H174" s="58"/>
      <c r="I174" s="58"/>
      <c r="J174" s="58"/>
      <c r="K174" s="81"/>
      <c r="L174" s="42" t="str">
        <f>IF($F174&gt;=L$2,"-",IF(IFERROR(VLOOKUP($G174,$U:$U,1,1),0)&gt;=L$2,"o","-"))</f>
        <v>o</v>
      </c>
      <c r="M174" s="42" t="str">
        <f>IF($F174&gt;=M$2,"-",IF(IFERROR(VLOOKUP($G174,$U:$U,1,1),0)&gt;=M$2,"o","-"))</f>
        <v>-</v>
      </c>
      <c r="N174" s="42" t="str">
        <f>IF($F174&gt;=N$2,"-",IF(IFERROR(VLOOKUP($G174,$U:$U,1,1),0)&gt;=N$2,"o","-"))</f>
        <v>-</v>
      </c>
      <c r="O174" s="42" t="str">
        <f>IF($F174&gt;=O$2,"-",IF(IFERROR(VLOOKUP($G174,$U:$U,1,1),0)&gt;=O$2,"o","-"))</f>
        <v>-</v>
      </c>
      <c r="P174" s="42" t="str">
        <f>IF($F174&gt;=P$2,"-",IF(IFERROR(VLOOKUP($G174,$U:$U,1,1),0)&gt;=P$2,"o","-"))</f>
        <v>-</v>
      </c>
      <c r="Q174" s="42" t="str">
        <f>IF($F174&gt;=Q$2,"-",IF(IFERROR(VLOOKUP($G174,$U:$U,1,1),0)&gt;=Q$2,"o","-"))</f>
        <v>-</v>
      </c>
      <c r="R174" s="42" t="str">
        <f>IF($F174&gt;=R$2,"-",IF(IFERROR(VLOOKUP($G174,$U:$U,1,1),0)&gt;=R$2,"o","-"))</f>
        <v>-</v>
      </c>
      <c r="S174" s="12">
        <f>IF(L174="o",50000,0)+IF(M174="o",100000,0)+IF(N174="o",200000,0)+IF(O174="o",400000,0)+IF(P174="o",600000,0)+IF(Q174="o",1000000,0)+IF(R174="o",2000000,0)</f>
        <v>50000</v>
      </c>
    </row>
    <row r="175" spans="2:19">
      <c r="B175" s="9">
        <v>170</v>
      </c>
      <c r="C175" s="10" t="s">
        <v>566</v>
      </c>
      <c r="D175" s="10" t="s">
        <v>803</v>
      </c>
      <c r="E175" s="82">
        <v>29811829</v>
      </c>
      <c r="F175" s="85">
        <f>IFERROR(VLOOKUP(D175,'1월'!D:F,3,0),)</f>
        <v>0</v>
      </c>
      <c r="G175" s="58">
        <v>2</v>
      </c>
      <c r="H175" s="58"/>
      <c r="I175" s="58"/>
      <c r="J175" s="58"/>
      <c r="K175" s="81"/>
      <c r="L175" s="42" t="str">
        <f>IF($F175&gt;=L$2,"-",IF(IFERROR(VLOOKUP($G175,$U:$U,1,1),0)&gt;=L$2,"o","-"))</f>
        <v>o</v>
      </c>
      <c r="M175" s="42" t="str">
        <f>IF($F175&gt;=M$2,"-",IF(IFERROR(VLOOKUP($G175,$U:$U,1,1),0)&gt;=M$2,"o","-"))</f>
        <v>-</v>
      </c>
      <c r="N175" s="42" t="str">
        <f>IF($F175&gt;=N$2,"-",IF(IFERROR(VLOOKUP($G175,$U:$U,1,1),0)&gt;=N$2,"o","-"))</f>
        <v>-</v>
      </c>
      <c r="O175" s="42" t="str">
        <f>IF($F175&gt;=O$2,"-",IF(IFERROR(VLOOKUP($G175,$U:$U,1,1),0)&gt;=O$2,"o","-"))</f>
        <v>-</v>
      </c>
      <c r="P175" s="42" t="str">
        <f>IF($F175&gt;=P$2,"-",IF(IFERROR(VLOOKUP($G175,$U:$U,1,1),0)&gt;=P$2,"o","-"))</f>
        <v>-</v>
      </c>
      <c r="Q175" s="42" t="str">
        <f>IF($F175&gt;=Q$2,"-",IF(IFERROR(VLOOKUP($G175,$U:$U,1,1),0)&gt;=Q$2,"o","-"))</f>
        <v>-</v>
      </c>
      <c r="R175" s="42" t="str">
        <f>IF($F175&gt;=R$2,"-",IF(IFERROR(VLOOKUP($G175,$U:$U,1,1),0)&gt;=R$2,"o","-"))</f>
        <v>-</v>
      </c>
      <c r="S175" s="12">
        <f>IF(L175="o",50000,0)+IF(M175="o",100000,0)+IF(N175="o",200000,0)+IF(O175="o",400000,0)+IF(P175="o",600000,0)+IF(Q175="o",1000000,0)+IF(R175="o",2000000,0)</f>
        <v>50000</v>
      </c>
    </row>
    <row r="176" spans="2:19">
      <c r="B176" s="9">
        <v>171</v>
      </c>
      <c r="C176" s="10" t="s">
        <v>567</v>
      </c>
      <c r="D176" s="10" t="s">
        <v>804</v>
      </c>
      <c r="E176" s="82">
        <v>30602342</v>
      </c>
      <c r="F176" s="85">
        <f>IFERROR(VLOOKUP(D176,'1월'!D:F,3,0),)</f>
        <v>0</v>
      </c>
      <c r="G176" s="58">
        <v>2</v>
      </c>
      <c r="H176" s="58"/>
      <c r="I176" s="58"/>
      <c r="J176" s="58"/>
      <c r="K176" s="81"/>
      <c r="L176" s="42" t="str">
        <f>IF($F176&gt;=L$2,"-",IF(IFERROR(VLOOKUP($G176,$U:$U,1,1),0)&gt;=L$2,"o","-"))</f>
        <v>o</v>
      </c>
      <c r="M176" s="42" t="str">
        <f>IF($F176&gt;=M$2,"-",IF(IFERROR(VLOOKUP($G176,$U:$U,1,1),0)&gt;=M$2,"o","-"))</f>
        <v>-</v>
      </c>
      <c r="N176" s="42" t="str">
        <f>IF($F176&gt;=N$2,"-",IF(IFERROR(VLOOKUP($G176,$U:$U,1,1),0)&gt;=N$2,"o","-"))</f>
        <v>-</v>
      </c>
      <c r="O176" s="42" t="str">
        <f>IF($F176&gt;=O$2,"-",IF(IFERROR(VLOOKUP($G176,$U:$U,1,1),0)&gt;=O$2,"o","-"))</f>
        <v>-</v>
      </c>
      <c r="P176" s="42" t="str">
        <f>IF($F176&gt;=P$2,"-",IF(IFERROR(VLOOKUP($G176,$U:$U,1,1),0)&gt;=P$2,"o","-"))</f>
        <v>-</v>
      </c>
      <c r="Q176" s="42" t="str">
        <f>IF($F176&gt;=Q$2,"-",IF(IFERROR(VLOOKUP($G176,$U:$U,1,1),0)&gt;=Q$2,"o","-"))</f>
        <v>-</v>
      </c>
      <c r="R176" s="42" t="str">
        <f>IF($F176&gt;=R$2,"-",IF(IFERROR(VLOOKUP($G176,$U:$U,1,1),0)&gt;=R$2,"o","-"))</f>
        <v>-</v>
      </c>
      <c r="S176" s="12">
        <f>IF(L176="o",50000,0)+IF(M176="o",100000,0)+IF(N176="o",200000,0)+IF(O176="o",400000,0)+IF(P176="o",600000,0)+IF(Q176="o",1000000,0)+IF(R176="o",2000000,0)</f>
        <v>50000</v>
      </c>
    </row>
    <row r="177" spans="2:19">
      <c r="B177" s="9">
        <v>172</v>
      </c>
      <c r="C177" s="10" t="s">
        <v>568</v>
      </c>
      <c r="D177" s="10" t="s">
        <v>805</v>
      </c>
      <c r="E177" s="82">
        <v>42302270</v>
      </c>
      <c r="F177" s="85">
        <f>IFERROR(VLOOKUP(D177,'1월'!D:F,3,0),)</f>
        <v>0</v>
      </c>
      <c r="G177" s="58">
        <v>2</v>
      </c>
      <c r="H177" s="58"/>
      <c r="I177" s="58"/>
      <c r="J177" s="58"/>
      <c r="K177" s="81"/>
      <c r="L177" s="42" t="str">
        <f>IF($F177&gt;=L$2,"-",IF(IFERROR(VLOOKUP($G177,$U:$U,1,1),0)&gt;=L$2,"o","-"))</f>
        <v>o</v>
      </c>
      <c r="M177" s="42" t="str">
        <f>IF($F177&gt;=M$2,"-",IF(IFERROR(VLOOKUP($G177,$U:$U,1,1),0)&gt;=M$2,"o","-"))</f>
        <v>-</v>
      </c>
      <c r="N177" s="42" t="str">
        <f>IF($F177&gt;=N$2,"-",IF(IFERROR(VLOOKUP($G177,$U:$U,1,1),0)&gt;=N$2,"o","-"))</f>
        <v>-</v>
      </c>
      <c r="O177" s="42" t="str">
        <f>IF($F177&gt;=O$2,"-",IF(IFERROR(VLOOKUP($G177,$U:$U,1,1),0)&gt;=O$2,"o","-"))</f>
        <v>-</v>
      </c>
      <c r="P177" s="42" t="str">
        <f>IF($F177&gt;=P$2,"-",IF(IFERROR(VLOOKUP($G177,$U:$U,1,1),0)&gt;=P$2,"o","-"))</f>
        <v>-</v>
      </c>
      <c r="Q177" s="42" t="str">
        <f>IF($F177&gt;=Q$2,"-",IF(IFERROR(VLOOKUP($G177,$U:$U,1,1),0)&gt;=Q$2,"o","-"))</f>
        <v>-</v>
      </c>
      <c r="R177" s="42" t="str">
        <f>IF($F177&gt;=R$2,"-",IF(IFERROR(VLOOKUP($G177,$U:$U,1,1),0)&gt;=R$2,"o","-"))</f>
        <v>-</v>
      </c>
      <c r="S177" s="12">
        <f>IF(L177="o",50000,0)+IF(M177="o",100000,0)+IF(N177="o",200000,0)+IF(O177="o",400000,0)+IF(P177="o",600000,0)+IF(Q177="o",1000000,0)+IF(R177="o",2000000,0)</f>
        <v>50000</v>
      </c>
    </row>
    <row r="178" spans="2:19">
      <c r="B178" s="9">
        <v>173</v>
      </c>
      <c r="C178" s="10" t="s">
        <v>569</v>
      </c>
      <c r="D178" s="10" t="s">
        <v>806</v>
      </c>
      <c r="E178" s="82">
        <v>31902870</v>
      </c>
      <c r="F178" s="85">
        <f>IFERROR(VLOOKUP(D178,'1월'!D:F,3,0),)</f>
        <v>0</v>
      </c>
      <c r="G178" s="58">
        <v>2</v>
      </c>
      <c r="H178" s="58"/>
      <c r="I178" s="58"/>
      <c r="J178" s="58"/>
      <c r="K178" s="81"/>
      <c r="L178" s="42" t="str">
        <f>IF($F178&gt;=L$2,"-",IF(IFERROR(VLOOKUP($G178,$U:$U,1,1),0)&gt;=L$2,"o","-"))</f>
        <v>o</v>
      </c>
      <c r="M178" s="42" t="str">
        <f>IF($F178&gt;=M$2,"-",IF(IFERROR(VLOOKUP($G178,$U:$U,1,1),0)&gt;=M$2,"o","-"))</f>
        <v>-</v>
      </c>
      <c r="N178" s="42" t="str">
        <f>IF($F178&gt;=N$2,"-",IF(IFERROR(VLOOKUP($G178,$U:$U,1,1),0)&gt;=N$2,"o","-"))</f>
        <v>-</v>
      </c>
      <c r="O178" s="42" t="str">
        <f>IF($F178&gt;=O$2,"-",IF(IFERROR(VLOOKUP($G178,$U:$U,1,1),0)&gt;=O$2,"o","-"))</f>
        <v>-</v>
      </c>
      <c r="P178" s="42" t="str">
        <f>IF($F178&gt;=P$2,"-",IF(IFERROR(VLOOKUP($G178,$U:$U,1,1),0)&gt;=P$2,"o","-"))</f>
        <v>-</v>
      </c>
      <c r="Q178" s="42" t="str">
        <f>IF($F178&gt;=Q$2,"-",IF(IFERROR(VLOOKUP($G178,$U:$U,1,1),0)&gt;=Q$2,"o","-"))</f>
        <v>-</v>
      </c>
      <c r="R178" s="42" t="str">
        <f>IF($F178&gt;=R$2,"-",IF(IFERROR(VLOOKUP($G178,$U:$U,1,1),0)&gt;=R$2,"o","-"))</f>
        <v>-</v>
      </c>
      <c r="S178" s="12">
        <f>IF(L178="o",50000,0)+IF(M178="o",100000,0)+IF(N178="o",200000,0)+IF(O178="o",400000,0)+IF(P178="o",600000,0)+IF(Q178="o",1000000,0)+IF(R178="o",2000000,0)</f>
        <v>50000</v>
      </c>
    </row>
    <row r="179" spans="2:19">
      <c r="B179" s="9">
        <v>174</v>
      </c>
      <c r="C179" s="10" t="s">
        <v>570</v>
      </c>
      <c r="D179" s="10" t="s">
        <v>807</v>
      </c>
      <c r="E179" s="82">
        <v>40601045</v>
      </c>
      <c r="F179" s="85">
        <f>IFERROR(VLOOKUP(D179,'1월'!D:F,3,0),)</f>
        <v>0</v>
      </c>
      <c r="G179" s="58">
        <v>2</v>
      </c>
      <c r="H179" s="58"/>
      <c r="I179" s="58"/>
      <c r="J179" s="58"/>
      <c r="K179" s="81"/>
      <c r="L179" s="42" t="str">
        <f>IF($F179&gt;=L$2,"-",IF(IFERROR(VLOOKUP($G179,$U:$U,1,1),0)&gt;=L$2,"o","-"))</f>
        <v>o</v>
      </c>
      <c r="M179" s="42" t="str">
        <f>IF($F179&gt;=M$2,"-",IF(IFERROR(VLOOKUP($G179,$U:$U,1,1),0)&gt;=M$2,"o","-"))</f>
        <v>-</v>
      </c>
      <c r="N179" s="42" t="str">
        <f>IF($F179&gt;=N$2,"-",IF(IFERROR(VLOOKUP($G179,$U:$U,1,1),0)&gt;=N$2,"o","-"))</f>
        <v>-</v>
      </c>
      <c r="O179" s="42" t="str">
        <f>IF($F179&gt;=O$2,"-",IF(IFERROR(VLOOKUP($G179,$U:$U,1,1),0)&gt;=O$2,"o","-"))</f>
        <v>-</v>
      </c>
      <c r="P179" s="42" t="str">
        <f>IF($F179&gt;=P$2,"-",IF(IFERROR(VLOOKUP($G179,$U:$U,1,1),0)&gt;=P$2,"o","-"))</f>
        <v>-</v>
      </c>
      <c r="Q179" s="42" t="str">
        <f>IF($F179&gt;=Q$2,"-",IF(IFERROR(VLOOKUP($G179,$U:$U,1,1),0)&gt;=Q$2,"o","-"))</f>
        <v>-</v>
      </c>
      <c r="R179" s="42" t="str">
        <f>IF($F179&gt;=R$2,"-",IF(IFERROR(VLOOKUP($G179,$U:$U,1,1),0)&gt;=R$2,"o","-"))</f>
        <v>-</v>
      </c>
      <c r="S179" s="12">
        <f>IF(L179="o",50000,0)+IF(M179="o",100000,0)+IF(N179="o",200000,0)+IF(O179="o",400000,0)+IF(P179="o",600000,0)+IF(Q179="o",1000000,0)+IF(R179="o",2000000,0)</f>
        <v>50000</v>
      </c>
    </row>
    <row r="180" spans="2:19">
      <c r="B180" s="9">
        <v>175</v>
      </c>
      <c r="C180" s="10" t="s">
        <v>571</v>
      </c>
      <c r="D180" s="10" t="s">
        <v>808</v>
      </c>
      <c r="E180" s="82">
        <v>31701981</v>
      </c>
      <c r="F180" s="85">
        <f>IFERROR(VLOOKUP(D180,'1월'!D:F,3,0),)</f>
        <v>0</v>
      </c>
      <c r="G180" s="58">
        <v>2</v>
      </c>
      <c r="H180" s="58"/>
      <c r="I180" s="58"/>
      <c r="J180" s="58"/>
      <c r="K180" s="81"/>
      <c r="L180" s="42" t="str">
        <f>IF($F180&gt;=L$2,"-",IF(IFERROR(VLOOKUP($G180,$U:$U,1,1),0)&gt;=L$2,"o","-"))</f>
        <v>o</v>
      </c>
      <c r="M180" s="42" t="str">
        <f>IF($F180&gt;=M$2,"-",IF(IFERROR(VLOOKUP($G180,$U:$U,1,1),0)&gt;=M$2,"o","-"))</f>
        <v>-</v>
      </c>
      <c r="N180" s="42" t="str">
        <f>IF($F180&gt;=N$2,"-",IF(IFERROR(VLOOKUP($G180,$U:$U,1,1),0)&gt;=N$2,"o","-"))</f>
        <v>-</v>
      </c>
      <c r="O180" s="42" t="str">
        <f>IF($F180&gt;=O$2,"-",IF(IFERROR(VLOOKUP($G180,$U:$U,1,1),0)&gt;=O$2,"o","-"))</f>
        <v>-</v>
      </c>
      <c r="P180" s="42" t="str">
        <f>IF($F180&gt;=P$2,"-",IF(IFERROR(VLOOKUP($G180,$U:$U,1,1),0)&gt;=P$2,"o","-"))</f>
        <v>-</v>
      </c>
      <c r="Q180" s="42" t="str">
        <f>IF($F180&gt;=Q$2,"-",IF(IFERROR(VLOOKUP($G180,$U:$U,1,1),0)&gt;=Q$2,"o","-"))</f>
        <v>-</v>
      </c>
      <c r="R180" s="42" t="str">
        <f>IF($F180&gt;=R$2,"-",IF(IFERROR(VLOOKUP($G180,$U:$U,1,1),0)&gt;=R$2,"o","-"))</f>
        <v>-</v>
      </c>
      <c r="S180" s="12">
        <f>IF(L180="o",50000,0)+IF(M180="o",100000,0)+IF(N180="o",200000,0)+IF(O180="o",400000,0)+IF(P180="o",600000,0)+IF(Q180="o",1000000,0)+IF(R180="o",2000000,0)</f>
        <v>50000</v>
      </c>
    </row>
    <row r="181" spans="2:19">
      <c r="B181" s="9">
        <v>176</v>
      </c>
      <c r="C181" s="10" t="s">
        <v>572</v>
      </c>
      <c r="D181" s="10" t="s">
        <v>809</v>
      </c>
      <c r="E181" s="82">
        <v>41500172</v>
      </c>
      <c r="F181" s="85">
        <f>IFERROR(VLOOKUP(D181,'1월'!D:F,3,0),)</f>
        <v>0</v>
      </c>
      <c r="G181" s="58">
        <v>2</v>
      </c>
      <c r="H181" s="58"/>
      <c r="I181" s="58"/>
      <c r="J181" s="58"/>
      <c r="K181" s="81"/>
      <c r="L181" s="42" t="str">
        <f>IF($F181&gt;=L$2,"-",IF(IFERROR(VLOOKUP($G181,$U:$U,1,1),0)&gt;=L$2,"o","-"))</f>
        <v>o</v>
      </c>
      <c r="M181" s="42" t="str">
        <f>IF($F181&gt;=M$2,"-",IF(IFERROR(VLOOKUP($G181,$U:$U,1,1),0)&gt;=M$2,"o","-"))</f>
        <v>-</v>
      </c>
      <c r="N181" s="42" t="str">
        <f>IF($F181&gt;=N$2,"-",IF(IFERROR(VLOOKUP($G181,$U:$U,1,1),0)&gt;=N$2,"o","-"))</f>
        <v>-</v>
      </c>
      <c r="O181" s="42" t="str">
        <f>IF($F181&gt;=O$2,"-",IF(IFERROR(VLOOKUP($G181,$U:$U,1,1),0)&gt;=O$2,"o","-"))</f>
        <v>-</v>
      </c>
      <c r="P181" s="42" t="str">
        <f>IF($F181&gt;=P$2,"-",IF(IFERROR(VLOOKUP($G181,$U:$U,1,1),0)&gt;=P$2,"o","-"))</f>
        <v>-</v>
      </c>
      <c r="Q181" s="42" t="str">
        <f>IF($F181&gt;=Q$2,"-",IF(IFERROR(VLOOKUP($G181,$U:$U,1,1),0)&gt;=Q$2,"o","-"))</f>
        <v>-</v>
      </c>
      <c r="R181" s="42" t="str">
        <f>IF($F181&gt;=R$2,"-",IF(IFERROR(VLOOKUP($G181,$U:$U,1,1),0)&gt;=R$2,"o","-"))</f>
        <v>-</v>
      </c>
      <c r="S181" s="12">
        <f>IF(L181="o",50000,0)+IF(M181="o",100000,0)+IF(N181="o",200000,0)+IF(O181="o",400000,0)+IF(P181="o",600000,0)+IF(Q181="o",1000000,0)+IF(R181="o",2000000,0)</f>
        <v>50000</v>
      </c>
    </row>
    <row r="182" spans="2:19">
      <c r="B182" s="9">
        <v>177</v>
      </c>
      <c r="C182" s="10" t="s">
        <v>573</v>
      </c>
      <c r="D182" s="10" t="s">
        <v>810</v>
      </c>
      <c r="E182" s="82">
        <v>41206575</v>
      </c>
      <c r="F182" s="85">
        <f>IFERROR(VLOOKUP(D182,'1월'!D:F,3,0),)</f>
        <v>0</v>
      </c>
      <c r="G182" s="58">
        <v>2</v>
      </c>
      <c r="H182" s="58"/>
      <c r="I182" s="58"/>
      <c r="J182" s="58"/>
      <c r="K182" s="81"/>
      <c r="L182" s="42" t="str">
        <f>IF($F182&gt;=L$2,"-",IF(IFERROR(VLOOKUP($G182,$U:$U,1,1),0)&gt;=L$2,"o","-"))</f>
        <v>o</v>
      </c>
      <c r="M182" s="42" t="str">
        <f>IF($F182&gt;=M$2,"-",IF(IFERROR(VLOOKUP($G182,$U:$U,1,1),0)&gt;=M$2,"o","-"))</f>
        <v>-</v>
      </c>
      <c r="N182" s="42" t="str">
        <f>IF($F182&gt;=N$2,"-",IF(IFERROR(VLOOKUP($G182,$U:$U,1,1),0)&gt;=N$2,"o","-"))</f>
        <v>-</v>
      </c>
      <c r="O182" s="42" t="str">
        <f>IF($F182&gt;=O$2,"-",IF(IFERROR(VLOOKUP($G182,$U:$U,1,1),0)&gt;=O$2,"o","-"))</f>
        <v>-</v>
      </c>
      <c r="P182" s="42" t="str">
        <f>IF($F182&gt;=P$2,"-",IF(IFERROR(VLOOKUP($G182,$U:$U,1,1),0)&gt;=P$2,"o","-"))</f>
        <v>-</v>
      </c>
      <c r="Q182" s="42" t="str">
        <f>IF($F182&gt;=Q$2,"-",IF(IFERROR(VLOOKUP($G182,$U:$U,1,1),0)&gt;=Q$2,"o","-"))</f>
        <v>-</v>
      </c>
      <c r="R182" s="42" t="str">
        <f>IF($F182&gt;=R$2,"-",IF(IFERROR(VLOOKUP($G182,$U:$U,1,1),0)&gt;=R$2,"o","-"))</f>
        <v>-</v>
      </c>
      <c r="S182" s="12">
        <f>IF(L182="o",50000,0)+IF(M182="o",100000,0)+IF(N182="o",200000,0)+IF(O182="o",400000,0)+IF(P182="o",600000,0)+IF(Q182="o",1000000,0)+IF(R182="o",2000000,0)</f>
        <v>50000</v>
      </c>
    </row>
    <row r="183" spans="2:19">
      <c r="B183" s="9">
        <v>178</v>
      </c>
      <c r="C183" s="10" t="s">
        <v>574</v>
      </c>
      <c r="D183" s="10" t="s">
        <v>811</v>
      </c>
      <c r="E183" s="82">
        <v>31302218</v>
      </c>
      <c r="F183" s="85">
        <f>IFERROR(VLOOKUP(D183,'1월'!D:F,3,0),)</f>
        <v>0</v>
      </c>
      <c r="G183" s="58">
        <v>2</v>
      </c>
      <c r="H183" s="58"/>
      <c r="I183" s="58"/>
      <c r="J183" s="58"/>
      <c r="K183" s="81"/>
      <c r="L183" s="42" t="str">
        <f>IF($F183&gt;=L$2,"-",IF(IFERROR(VLOOKUP($G183,$U:$U,1,1),0)&gt;=L$2,"o","-"))</f>
        <v>o</v>
      </c>
      <c r="M183" s="42" t="str">
        <f>IF($F183&gt;=M$2,"-",IF(IFERROR(VLOOKUP($G183,$U:$U,1,1),0)&gt;=M$2,"o","-"))</f>
        <v>-</v>
      </c>
      <c r="N183" s="42" t="str">
        <f>IF($F183&gt;=N$2,"-",IF(IFERROR(VLOOKUP($G183,$U:$U,1,1),0)&gt;=N$2,"o","-"))</f>
        <v>-</v>
      </c>
      <c r="O183" s="42" t="str">
        <f>IF($F183&gt;=O$2,"-",IF(IFERROR(VLOOKUP($G183,$U:$U,1,1),0)&gt;=O$2,"o","-"))</f>
        <v>-</v>
      </c>
      <c r="P183" s="42" t="str">
        <f>IF($F183&gt;=P$2,"-",IF(IFERROR(VLOOKUP($G183,$U:$U,1,1),0)&gt;=P$2,"o","-"))</f>
        <v>-</v>
      </c>
      <c r="Q183" s="42" t="str">
        <f>IF($F183&gt;=Q$2,"-",IF(IFERROR(VLOOKUP($G183,$U:$U,1,1),0)&gt;=Q$2,"o","-"))</f>
        <v>-</v>
      </c>
      <c r="R183" s="42" t="str">
        <f>IF($F183&gt;=R$2,"-",IF(IFERROR(VLOOKUP($G183,$U:$U,1,1),0)&gt;=R$2,"o","-"))</f>
        <v>-</v>
      </c>
      <c r="S183" s="12">
        <f>IF(L183="o",50000,0)+IF(M183="o",100000,0)+IF(N183="o",200000,0)+IF(O183="o",400000,0)+IF(P183="o",600000,0)+IF(Q183="o",1000000,0)+IF(R183="o",2000000,0)</f>
        <v>50000</v>
      </c>
    </row>
    <row r="184" spans="2:19">
      <c r="B184" s="9">
        <v>179</v>
      </c>
      <c r="C184" s="10" t="s">
        <v>575</v>
      </c>
      <c r="D184" s="10" t="s">
        <v>812</v>
      </c>
      <c r="E184" s="82">
        <v>42402035</v>
      </c>
      <c r="F184" s="85">
        <f>IFERROR(VLOOKUP(D184,'1월'!D:F,3,0),)</f>
        <v>0</v>
      </c>
      <c r="G184" s="58">
        <v>2</v>
      </c>
      <c r="H184" s="58"/>
      <c r="I184" s="58"/>
      <c r="J184" s="58"/>
      <c r="K184" s="81"/>
      <c r="L184" s="42" t="str">
        <f>IF($F184&gt;=L$2,"-",IF(IFERROR(VLOOKUP($G184,$U:$U,1,1),0)&gt;=L$2,"o","-"))</f>
        <v>o</v>
      </c>
      <c r="M184" s="42" t="str">
        <f>IF($F184&gt;=M$2,"-",IF(IFERROR(VLOOKUP($G184,$U:$U,1,1),0)&gt;=M$2,"o","-"))</f>
        <v>-</v>
      </c>
      <c r="N184" s="42" t="str">
        <f>IF($F184&gt;=N$2,"-",IF(IFERROR(VLOOKUP($G184,$U:$U,1,1),0)&gt;=N$2,"o","-"))</f>
        <v>-</v>
      </c>
      <c r="O184" s="42" t="str">
        <f>IF($F184&gt;=O$2,"-",IF(IFERROR(VLOOKUP($G184,$U:$U,1,1),0)&gt;=O$2,"o","-"))</f>
        <v>-</v>
      </c>
      <c r="P184" s="42" t="str">
        <f>IF($F184&gt;=P$2,"-",IF(IFERROR(VLOOKUP($G184,$U:$U,1,1),0)&gt;=P$2,"o","-"))</f>
        <v>-</v>
      </c>
      <c r="Q184" s="42" t="str">
        <f>IF($F184&gt;=Q$2,"-",IF(IFERROR(VLOOKUP($G184,$U:$U,1,1),0)&gt;=Q$2,"o","-"))</f>
        <v>-</v>
      </c>
      <c r="R184" s="42" t="str">
        <f>IF($F184&gt;=R$2,"-",IF(IFERROR(VLOOKUP($G184,$U:$U,1,1),0)&gt;=R$2,"o","-"))</f>
        <v>-</v>
      </c>
      <c r="S184" s="12">
        <f>IF(L184="o",50000,0)+IF(M184="o",100000,0)+IF(N184="o",200000,0)+IF(O184="o",400000,0)+IF(P184="o",600000,0)+IF(Q184="o",1000000,0)+IF(R184="o",2000000,0)</f>
        <v>50000</v>
      </c>
    </row>
    <row r="185" spans="2:19">
      <c r="B185" s="9">
        <v>180</v>
      </c>
      <c r="C185" s="10" t="s">
        <v>576</v>
      </c>
      <c r="D185" s="10" t="s">
        <v>813</v>
      </c>
      <c r="E185" s="82">
        <v>42500054</v>
      </c>
      <c r="F185" s="85">
        <f>IFERROR(VLOOKUP(D185,'1월'!D:F,3,0),)</f>
        <v>0</v>
      </c>
      <c r="G185" s="58">
        <v>2</v>
      </c>
      <c r="H185" s="58"/>
      <c r="I185" s="58"/>
      <c r="J185" s="58"/>
      <c r="K185" s="81"/>
      <c r="L185" s="42" t="str">
        <f>IF($F185&gt;=L$2,"-",IF(IFERROR(VLOOKUP($G185,$U:$U,1,1),0)&gt;=L$2,"o","-"))</f>
        <v>o</v>
      </c>
      <c r="M185" s="42" t="str">
        <f>IF($F185&gt;=M$2,"-",IF(IFERROR(VLOOKUP($G185,$U:$U,1,1),0)&gt;=M$2,"o","-"))</f>
        <v>-</v>
      </c>
      <c r="N185" s="42" t="str">
        <f>IF($F185&gt;=N$2,"-",IF(IFERROR(VLOOKUP($G185,$U:$U,1,1),0)&gt;=N$2,"o","-"))</f>
        <v>-</v>
      </c>
      <c r="O185" s="42" t="str">
        <f>IF($F185&gt;=O$2,"-",IF(IFERROR(VLOOKUP($G185,$U:$U,1,1),0)&gt;=O$2,"o","-"))</f>
        <v>-</v>
      </c>
      <c r="P185" s="42" t="str">
        <f>IF($F185&gt;=P$2,"-",IF(IFERROR(VLOOKUP($G185,$U:$U,1,1),0)&gt;=P$2,"o","-"))</f>
        <v>-</v>
      </c>
      <c r="Q185" s="42" t="str">
        <f>IF($F185&gt;=Q$2,"-",IF(IFERROR(VLOOKUP($G185,$U:$U,1,1),0)&gt;=Q$2,"o","-"))</f>
        <v>-</v>
      </c>
      <c r="R185" s="42" t="str">
        <f>IF($F185&gt;=R$2,"-",IF(IFERROR(VLOOKUP($G185,$U:$U,1,1),0)&gt;=R$2,"o","-"))</f>
        <v>-</v>
      </c>
      <c r="S185" s="12">
        <f>IF(L185="o",50000,0)+IF(M185="o",100000,0)+IF(N185="o",200000,0)+IF(O185="o",400000,0)+IF(P185="o",600000,0)+IF(Q185="o",1000000,0)+IF(R185="o",2000000,0)</f>
        <v>50000</v>
      </c>
    </row>
    <row r="186" spans="2:19">
      <c r="B186" s="9">
        <v>181</v>
      </c>
      <c r="C186" s="10" t="s">
        <v>577</v>
      </c>
      <c r="D186" s="10" t="s">
        <v>814</v>
      </c>
      <c r="E186" s="82">
        <v>41506518</v>
      </c>
      <c r="F186" s="85">
        <f>IFERROR(VLOOKUP(D186,'1월'!D:F,3,0),)</f>
        <v>0</v>
      </c>
      <c r="G186" s="58">
        <v>2</v>
      </c>
      <c r="H186" s="58"/>
      <c r="I186" s="58"/>
      <c r="J186" s="58"/>
      <c r="K186" s="81"/>
      <c r="L186" s="42" t="str">
        <f>IF($F186&gt;=L$2,"-",IF(IFERROR(VLOOKUP($G186,$U:$U,1,1),0)&gt;=L$2,"o","-"))</f>
        <v>o</v>
      </c>
      <c r="M186" s="42" t="str">
        <f>IF($F186&gt;=M$2,"-",IF(IFERROR(VLOOKUP($G186,$U:$U,1,1),0)&gt;=M$2,"o","-"))</f>
        <v>-</v>
      </c>
      <c r="N186" s="42" t="str">
        <f>IF($F186&gt;=N$2,"-",IF(IFERROR(VLOOKUP($G186,$U:$U,1,1),0)&gt;=N$2,"o","-"))</f>
        <v>-</v>
      </c>
      <c r="O186" s="42" t="str">
        <f>IF($F186&gt;=O$2,"-",IF(IFERROR(VLOOKUP($G186,$U:$U,1,1),0)&gt;=O$2,"o","-"))</f>
        <v>-</v>
      </c>
      <c r="P186" s="42" t="str">
        <f>IF($F186&gt;=P$2,"-",IF(IFERROR(VLOOKUP($G186,$U:$U,1,1),0)&gt;=P$2,"o","-"))</f>
        <v>-</v>
      </c>
      <c r="Q186" s="42" t="str">
        <f>IF($F186&gt;=Q$2,"-",IF(IFERROR(VLOOKUP($G186,$U:$U,1,1),0)&gt;=Q$2,"o","-"))</f>
        <v>-</v>
      </c>
      <c r="R186" s="42" t="str">
        <f>IF($F186&gt;=R$2,"-",IF(IFERROR(VLOOKUP($G186,$U:$U,1,1),0)&gt;=R$2,"o","-"))</f>
        <v>-</v>
      </c>
      <c r="S186" s="12">
        <f>IF(L186="o",50000,0)+IF(M186="o",100000,0)+IF(N186="o",200000,0)+IF(O186="o",400000,0)+IF(P186="o",600000,0)+IF(Q186="o",1000000,0)+IF(R186="o",2000000,0)</f>
        <v>50000</v>
      </c>
    </row>
    <row r="187" spans="2:19">
      <c r="B187" s="9">
        <v>182</v>
      </c>
      <c r="C187" s="10" t="s">
        <v>578</v>
      </c>
      <c r="D187" s="10" t="s">
        <v>815</v>
      </c>
      <c r="E187" s="82">
        <v>42302496</v>
      </c>
      <c r="F187" s="85">
        <f>IFERROR(VLOOKUP(D187,'1월'!D:F,3,0),)</f>
        <v>0</v>
      </c>
      <c r="G187" s="58">
        <v>2</v>
      </c>
      <c r="H187" s="58"/>
      <c r="I187" s="58"/>
      <c r="J187" s="58"/>
      <c r="K187" s="81"/>
      <c r="L187" s="42" t="str">
        <f>IF($F187&gt;=L$2,"-",IF(IFERROR(VLOOKUP($G187,$U:$U,1,1),0)&gt;=L$2,"o","-"))</f>
        <v>o</v>
      </c>
      <c r="M187" s="42" t="str">
        <f>IF($F187&gt;=M$2,"-",IF(IFERROR(VLOOKUP($G187,$U:$U,1,1),0)&gt;=M$2,"o","-"))</f>
        <v>-</v>
      </c>
      <c r="N187" s="42" t="str">
        <f>IF($F187&gt;=N$2,"-",IF(IFERROR(VLOOKUP($G187,$U:$U,1,1),0)&gt;=N$2,"o","-"))</f>
        <v>-</v>
      </c>
      <c r="O187" s="42" t="str">
        <f>IF($F187&gt;=O$2,"-",IF(IFERROR(VLOOKUP($G187,$U:$U,1,1),0)&gt;=O$2,"o","-"))</f>
        <v>-</v>
      </c>
      <c r="P187" s="42" t="str">
        <f>IF($F187&gt;=P$2,"-",IF(IFERROR(VLOOKUP($G187,$U:$U,1,1),0)&gt;=P$2,"o","-"))</f>
        <v>-</v>
      </c>
      <c r="Q187" s="42" t="str">
        <f>IF($F187&gt;=Q$2,"-",IF(IFERROR(VLOOKUP($G187,$U:$U,1,1),0)&gt;=Q$2,"o","-"))</f>
        <v>-</v>
      </c>
      <c r="R187" s="42" t="str">
        <f>IF($F187&gt;=R$2,"-",IF(IFERROR(VLOOKUP($G187,$U:$U,1,1),0)&gt;=R$2,"o","-"))</f>
        <v>-</v>
      </c>
      <c r="S187" s="12">
        <f>IF(L187="o",50000,0)+IF(M187="o",100000,0)+IF(N187="o",200000,0)+IF(O187="o",400000,0)+IF(P187="o",600000,0)+IF(Q187="o",1000000,0)+IF(R187="o",2000000,0)</f>
        <v>50000</v>
      </c>
    </row>
    <row r="188" spans="2:19">
      <c r="B188" s="9">
        <v>183</v>
      </c>
      <c r="C188" s="10" t="s">
        <v>579</v>
      </c>
      <c r="D188" s="10" t="s">
        <v>816</v>
      </c>
      <c r="E188" s="82">
        <v>42402198</v>
      </c>
      <c r="F188" s="85">
        <f>IFERROR(VLOOKUP(D188,'1월'!D:F,3,0),)</f>
        <v>0</v>
      </c>
      <c r="G188" s="58">
        <v>2</v>
      </c>
      <c r="H188" s="58"/>
      <c r="I188" s="58"/>
      <c r="J188" s="58"/>
      <c r="K188" s="81"/>
      <c r="L188" s="42" t="str">
        <f>IF($F188&gt;=L$2,"-",IF(IFERROR(VLOOKUP($G188,$U:$U,1,1),0)&gt;=L$2,"o","-"))</f>
        <v>o</v>
      </c>
      <c r="M188" s="42" t="str">
        <f>IF($F188&gt;=M$2,"-",IF(IFERROR(VLOOKUP($G188,$U:$U,1,1),0)&gt;=M$2,"o","-"))</f>
        <v>-</v>
      </c>
      <c r="N188" s="42" t="str">
        <f>IF($F188&gt;=N$2,"-",IF(IFERROR(VLOOKUP($G188,$U:$U,1,1),0)&gt;=N$2,"o","-"))</f>
        <v>-</v>
      </c>
      <c r="O188" s="42" t="str">
        <f>IF($F188&gt;=O$2,"-",IF(IFERROR(VLOOKUP($G188,$U:$U,1,1),0)&gt;=O$2,"o","-"))</f>
        <v>-</v>
      </c>
      <c r="P188" s="42" t="str">
        <f>IF($F188&gt;=P$2,"-",IF(IFERROR(VLOOKUP($G188,$U:$U,1,1),0)&gt;=P$2,"o","-"))</f>
        <v>-</v>
      </c>
      <c r="Q188" s="42" t="str">
        <f>IF($F188&gt;=Q$2,"-",IF(IFERROR(VLOOKUP($G188,$U:$U,1,1),0)&gt;=Q$2,"o","-"))</f>
        <v>-</v>
      </c>
      <c r="R188" s="42" t="str">
        <f>IF($F188&gt;=R$2,"-",IF(IFERROR(VLOOKUP($G188,$U:$U,1,1),0)&gt;=R$2,"o","-"))</f>
        <v>-</v>
      </c>
      <c r="S188" s="12">
        <f>IF(L188="o",50000,0)+IF(M188="o",100000,0)+IF(N188="o",200000,0)+IF(O188="o",400000,0)+IF(P188="o",600000,0)+IF(Q188="o",1000000,0)+IF(R188="o",2000000,0)</f>
        <v>50000</v>
      </c>
    </row>
    <row r="189" spans="2:19">
      <c r="B189" s="9">
        <v>184</v>
      </c>
      <c r="C189" s="10" t="s">
        <v>580</v>
      </c>
      <c r="D189" s="10" t="s">
        <v>817</v>
      </c>
      <c r="E189" s="82">
        <v>42300597</v>
      </c>
      <c r="F189" s="85">
        <f>IFERROR(VLOOKUP(D189,'1월'!D:F,3,0),)</f>
        <v>0</v>
      </c>
      <c r="G189" s="58">
        <v>2</v>
      </c>
      <c r="H189" s="58"/>
      <c r="I189" s="58"/>
      <c r="J189" s="58"/>
      <c r="K189" s="81"/>
      <c r="L189" s="42" t="str">
        <f>IF($F189&gt;=L$2,"-",IF(IFERROR(VLOOKUP($G189,$U:$U,1,1),0)&gt;=L$2,"o","-"))</f>
        <v>o</v>
      </c>
      <c r="M189" s="42" t="str">
        <f>IF($F189&gt;=M$2,"-",IF(IFERROR(VLOOKUP($G189,$U:$U,1,1),0)&gt;=M$2,"o","-"))</f>
        <v>-</v>
      </c>
      <c r="N189" s="42" t="str">
        <f>IF($F189&gt;=N$2,"-",IF(IFERROR(VLOOKUP($G189,$U:$U,1,1),0)&gt;=N$2,"o","-"))</f>
        <v>-</v>
      </c>
      <c r="O189" s="42" t="str">
        <f>IF($F189&gt;=O$2,"-",IF(IFERROR(VLOOKUP($G189,$U:$U,1,1),0)&gt;=O$2,"o","-"))</f>
        <v>-</v>
      </c>
      <c r="P189" s="42" t="str">
        <f>IF($F189&gt;=P$2,"-",IF(IFERROR(VLOOKUP($G189,$U:$U,1,1),0)&gt;=P$2,"o","-"))</f>
        <v>-</v>
      </c>
      <c r="Q189" s="42" t="str">
        <f>IF($F189&gt;=Q$2,"-",IF(IFERROR(VLOOKUP($G189,$U:$U,1,1),0)&gt;=Q$2,"o","-"))</f>
        <v>-</v>
      </c>
      <c r="R189" s="42" t="str">
        <f>IF($F189&gt;=R$2,"-",IF(IFERROR(VLOOKUP($G189,$U:$U,1,1),0)&gt;=R$2,"o","-"))</f>
        <v>-</v>
      </c>
      <c r="S189" s="12">
        <f>IF(L189="o",50000,0)+IF(M189="o",100000,0)+IF(N189="o",200000,0)+IF(O189="o",400000,0)+IF(P189="o",600000,0)+IF(Q189="o",1000000,0)+IF(R189="o",2000000,0)</f>
        <v>50000</v>
      </c>
    </row>
    <row r="190" spans="2:19">
      <c r="B190" s="9">
        <v>185</v>
      </c>
      <c r="C190" s="10" t="s">
        <v>581</v>
      </c>
      <c r="D190" s="10" t="s">
        <v>818</v>
      </c>
      <c r="E190" s="82">
        <v>40600596</v>
      </c>
      <c r="F190" s="85">
        <f>IFERROR(VLOOKUP(D190,'1월'!D:F,3,0),)</f>
        <v>0</v>
      </c>
      <c r="G190" s="58">
        <v>2</v>
      </c>
      <c r="H190" s="58"/>
      <c r="I190" s="58"/>
      <c r="J190" s="58"/>
      <c r="K190" s="81"/>
      <c r="L190" s="42" t="str">
        <f>IF($F190&gt;=L$2,"-",IF(IFERROR(VLOOKUP($G190,$U:$U,1,1),0)&gt;=L$2,"o","-"))</f>
        <v>o</v>
      </c>
      <c r="M190" s="42" t="str">
        <f>IF($F190&gt;=M$2,"-",IF(IFERROR(VLOOKUP($G190,$U:$U,1,1),0)&gt;=M$2,"o","-"))</f>
        <v>-</v>
      </c>
      <c r="N190" s="42" t="str">
        <f>IF($F190&gt;=N$2,"-",IF(IFERROR(VLOOKUP($G190,$U:$U,1,1),0)&gt;=N$2,"o","-"))</f>
        <v>-</v>
      </c>
      <c r="O190" s="42" t="str">
        <f>IF($F190&gt;=O$2,"-",IF(IFERROR(VLOOKUP($G190,$U:$U,1,1),0)&gt;=O$2,"o","-"))</f>
        <v>-</v>
      </c>
      <c r="P190" s="42" t="str">
        <f>IF($F190&gt;=P$2,"-",IF(IFERROR(VLOOKUP($G190,$U:$U,1,1),0)&gt;=P$2,"o","-"))</f>
        <v>-</v>
      </c>
      <c r="Q190" s="42" t="str">
        <f>IF($F190&gt;=Q$2,"-",IF(IFERROR(VLOOKUP($G190,$U:$U,1,1),0)&gt;=Q$2,"o","-"))</f>
        <v>-</v>
      </c>
      <c r="R190" s="42" t="str">
        <f>IF($F190&gt;=R$2,"-",IF(IFERROR(VLOOKUP($G190,$U:$U,1,1),0)&gt;=R$2,"o","-"))</f>
        <v>-</v>
      </c>
      <c r="S190" s="12">
        <f>IF(L190="o",50000,0)+IF(M190="o",100000,0)+IF(N190="o",200000,0)+IF(O190="o",400000,0)+IF(P190="o",600000,0)+IF(Q190="o",1000000,0)+IF(R190="o",2000000,0)</f>
        <v>50000</v>
      </c>
    </row>
    <row r="191" spans="2:19">
      <c r="B191" s="9">
        <v>186</v>
      </c>
      <c r="C191" s="10" t="s">
        <v>582</v>
      </c>
      <c r="D191" s="10" t="s">
        <v>819</v>
      </c>
      <c r="E191" s="82">
        <v>40736695</v>
      </c>
      <c r="F191" s="85">
        <f>IFERROR(VLOOKUP(D191,'1월'!D:F,3,0),)</f>
        <v>0</v>
      </c>
      <c r="G191" s="58">
        <v>2</v>
      </c>
      <c r="H191" s="58"/>
      <c r="I191" s="58"/>
      <c r="J191" s="58"/>
      <c r="K191" s="81"/>
      <c r="L191" s="42" t="str">
        <f>IF($F191&gt;=L$2,"-",IF(IFERROR(VLOOKUP($G191,$U:$U,1,1),0)&gt;=L$2,"o","-"))</f>
        <v>o</v>
      </c>
      <c r="M191" s="42" t="str">
        <f>IF($F191&gt;=M$2,"-",IF(IFERROR(VLOOKUP($G191,$U:$U,1,1),0)&gt;=M$2,"o","-"))</f>
        <v>-</v>
      </c>
      <c r="N191" s="42" t="str">
        <f>IF($F191&gt;=N$2,"-",IF(IFERROR(VLOOKUP($G191,$U:$U,1,1),0)&gt;=N$2,"o","-"))</f>
        <v>-</v>
      </c>
      <c r="O191" s="42" t="str">
        <f>IF($F191&gt;=O$2,"-",IF(IFERROR(VLOOKUP($G191,$U:$U,1,1),0)&gt;=O$2,"o","-"))</f>
        <v>-</v>
      </c>
      <c r="P191" s="42" t="str">
        <f>IF($F191&gt;=P$2,"-",IF(IFERROR(VLOOKUP($G191,$U:$U,1,1),0)&gt;=P$2,"o","-"))</f>
        <v>-</v>
      </c>
      <c r="Q191" s="42" t="str">
        <f>IF($F191&gt;=Q$2,"-",IF(IFERROR(VLOOKUP($G191,$U:$U,1,1),0)&gt;=Q$2,"o","-"))</f>
        <v>-</v>
      </c>
      <c r="R191" s="42" t="str">
        <f>IF($F191&gt;=R$2,"-",IF(IFERROR(VLOOKUP($G191,$U:$U,1,1),0)&gt;=R$2,"o","-"))</f>
        <v>-</v>
      </c>
      <c r="S191" s="12">
        <f>IF(L191="o",50000,0)+IF(M191="o",100000,0)+IF(N191="o",200000,0)+IF(O191="o",400000,0)+IF(P191="o",600000,0)+IF(Q191="o",1000000,0)+IF(R191="o",2000000,0)</f>
        <v>50000</v>
      </c>
    </row>
    <row r="192" spans="2:19">
      <c r="B192" s="9">
        <v>187</v>
      </c>
      <c r="C192" s="10" t="s">
        <v>583</v>
      </c>
      <c r="D192" s="10" t="s">
        <v>820</v>
      </c>
      <c r="E192" s="82">
        <v>30800676</v>
      </c>
      <c r="F192" s="85">
        <f>IFERROR(VLOOKUP(D192,'1월'!D:F,3,0),)</f>
        <v>0</v>
      </c>
      <c r="G192" s="58">
        <v>2</v>
      </c>
      <c r="H192" s="58"/>
      <c r="I192" s="58"/>
      <c r="J192" s="58"/>
      <c r="K192" s="81"/>
      <c r="L192" s="42" t="str">
        <f>IF($F192&gt;=L$2,"-",IF(IFERROR(VLOOKUP($G192,$U:$U,1,1),0)&gt;=L$2,"o","-"))</f>
        <v>o</v>
      </c>
      <c r="M192" s="42" t="str">
        <f>IF($F192&gt;=M$2,"-",IF(IFERROR(VLOOKUP($G192,$U:$U,1,1),0)&gt;=M$2,"o","-"))</f>
        <v>-</v>
      </c>
      <c r="N192" s="42" t="str">
        <f>IF($F192&gt;=N$2,"-",IF(IFERROR(VLOOKUP($G192,$U:$U,1,1),0)&gt;=N$2,"o","-"))</f>
        <v>-</v>
      </c>
      <c r="O192" s="42" t="str">
        <f>IF($F192&gt;=O$2,"-",IF(IFERROR(VLOOKUP($G192,$U:$U,1,1),0)&gt;=O$2,"o","-"))</f>
        <v>-</v>
      </c>
      <c r="P192" s="42" t="str">
        <f>IF($F192&gt;=P$2,"-",IF(IFERROR(VLOOKUP($G192,$U:$U,1,1),0)&gt;=P$2,"o","-"))</f>
        <v>-</v>
      </c>
      <c r="Q192" s="42" t="str">
        <f>IF($F192&gt;=Q$2,"-",IF(IFERROR(VLOOKUP($G192,$U:$U,1,1),0)&gt;=Q$2,"o","-"))</f>
        <v>-</v>
      </c>
      <c r="R192" s="42" t="str">
        <f>IF($F192&gt;=R$2,"-",IF(IFERROR(VLOOKUP($G192,$U:$U,1,1),0)&gt;=R$2,"o","-"))</f>
        <v>-</v>
      </c>
      <c r="S192" s="12">
        <f>IF(L192="o",50000,0)+IF(M192="o",100000,0)+IF(N192="o",200000,0)+IF(O192="o",400000,0)+IF(P192="o",600000,0)+IF(Q192="o",1000000,0)+IF(R192="o",2000000,0)</f>
        <v>50000</v>
      </c>
    </row>
    <row r="193" spans="2:19">
      <c r="B193" s="9">
        <v>188</v>
      </c>
      <c r="C193" s="10" t="s">
        <v>584</v>
      </c>
      <c r="D193" s="10" t="s">
        <v>821</v>
      </c>
      <c r="E193" s="82">
        <v>42500388</v>
      </c>
      <c r="F193" s="85">
        <f>IFERROR(VLOOKUP(D193,'1월'!D:F,3,0),)</f>
        <v>0</v>
      </c>
      <c r="G193" s="58">
        <v>2</v>
      </c>
      <c r="H193" s="58"/>
      <c r="I193" s="58"/>
      <c r="J193" s="58"/>
      <c r="K193" s="81"/>
      <c r="L193" s="42" t="str">
        <f>IF($F193&gt;=L$2,"-",IF(IFERROR(VLOOKUP($G193,$U:$U,1,1),0)&gt;=L$2,"o","-"))</f>
        <v>o</v>
      </c>
      <c r="M193" s="42" t="str">
        <f>IF($F193&gt;=M$2,"-",IF(IFERROR(VLOOKUP($G193,$U:$U,1,1),0)&gt;=M$2,"o","-"))</f>
        <v>-</v>
      </c>
      <c r="N193" s="42" t="str">
        <f>IF($F193&gt;=N$2,"-",IF(IFERROR(VLOOKUP($G193,$U:$U,1,1),0)&gt;=N$2,"o","-"))</f>
        <v>-</v>
      </c>
      <c r="O193" s="42" t="str">
        <f>IF($F193&gt;=O$2,"-",IF(IFERROR(VLOOKUP($G193,$U:$U,1,1),0)&gt;=O$2,"o","-"))</f>
        <v>-</v>
      </c>
      <c r="P193" s="42" t="str">
        <f>IF($F193&gt;=P$2,"-",IF(IFERROR(VLOOKUP($G193,$U:$U,1,1),0)&gt;=P$2,"o","-"))</f>
        <v>-</v>
      </c>
      <c r="Q193" s="42" t="str">
        <f>IF($F193&gt;=Q$2,"-",IF(IFERROR(VLOOKUP($G193,$U:$U,1,1),0)&gt;=Q$2,"o","-"))</f>
        <v>-</v>
      </c>
      <c r="R193" s="42" t="str">
        <f>IF($F193&gt;=R$2,"-",IF(IFERROR(VLOOKUP($G193,$U:$U,1,1),0)&gt;=R$2,"o","-"))</f>
        <v>-</v>
      </c>
      <c r="S193" s="12">
        <f>IF(L193="o",50000,0)+IF(M193="o",100000,0)+IF(N193="o",200000,0)+IF(O193="o",400000,0)+IF(P193="o",600000,0)+IF(Q193="o",1000000,0)+IF(R193="o",2000000,0)</f>
        <v>50000</v>
      </c>
    </row>
    <row r="194" spans="2:19">
      <c r="B194" s="9">
        <v>189</v>
      </c>
      <c r="C194" s="10" t="s">
        <v>585</v>
      </c>
      <c r="D194" s="10" t="s">
        <v>822</v>
      </c>
      <c r="E194" s="82">
        <v>31804536</v>
      </c>
      <c r="F194" s="85">
        <f>IFERROR(VLOOKUP(D194,'1월'!D:F,3,0),)</f>
        <v>0</v>
      </c>
      <c r="G194" s="58">
        <v>2</v>
      </c>
      <c r="H194" s="58"/>
      <c r="I194" s="58"/>
      <c r="J194" s="58"/>
      <c r="K194" s="81"/>
      <c r="L194" s="42" t="str">
        <f>IF($F194&gt;=L$2,"-",IF(IFERROR(VLOOKUP($G194,$U:$U,1,1),0)&gt;=L$2,"o","-"))</f>
        <v>o</v>
      </c>
      <c r="M194" s="42" t="str">
        <f>IF($F194&gt;=M$2,"-",IF(IFERROR(VLOOKUP($G194,$U:$U,1,1),0)&gt;=M$2,"o","-"))</f>
        <v>-</v>
      </c>
      <c r="N194" s="42" t="str">
        <f>IF($F194&gt;=N$2,"-",IF(IFERROR(VLOOKUP($G194,$U:$U,1,1),0)&gt;=N$2,"o","-"))</f>
        <v>-</v>
      </c>
      <c r="O194" s="42" t="str">
        <f>IF($F194&gt;=O$2,"-",IF(IFERROR(VLOOKUP($G194,$U:$U,1,1),0)&gt;=O$2,"o","-"))</f>
        <v>-</v>
      </c>
      <c r="P194" s="42" t="str">
        <f>IF($F194&gt;=P$2,"-",IF(IFERROR(VLOOKUP($G194,$U:$U,1,1),0)&gt;=P$2,"o","-"))</f>
        <v>-</v>
      </c>
      <c r="Q194" s="42" t="str">
        <f>IF($F194&gt;=Q$2,"-",IF(IFERROR(VLOOKUP($G194,$U:$U,1,1),0)&gt;=Q$2,"o","-"))</f>
        <v>-</v>
      </c>
      <c r="R194" s="42" t="str">
        <f>IF($F194&gt;=R$2,"-",IF(IFERROR(VLOOKUP($G194,$U:$U,1,1),0)&gt;=R$2,"o","-"))</f>
        <v>-</v>
      </c>
      <c r="S194" s="12">
        <f>IF(L194="o",50000,0)+IF(M194="o",100000,0)+IF(N194="o",200000,0)+IF(O194="o",400000,0)+IF(P194="o",600000,0)+IF(Q194="o",1000000,0)+IF(R194="o",2000000,0)</f>
        <v>50000</v>
      </c>
    </row>
    <row r="195" spans="2:19">
      <c r="B195" s="9">
        <v>190</v>
      </c>
      <c r="C195" s="10" t="s">
        <v>586</v>
      </c>
      <c r="D195" s="10" t="s">
        <v>823</v>
      </c>
      <c r="E195" s="82">
        <v>42001094</v>
      </c>
      <c r="F195" s="85">
        <f>IFERROR(VLOOKUP(D195,'1월'!D:F,3,0),)</f>
        <v>0</v>
      </c>
      <c r="G195" s="58">
        <v>2</v>
      </c>
      <c r="H195" s="58"/>
      <c r="I195" s="58"/>
      <c r="J195" s="58"/>
      <c r="K195" s="81"/>
      <c r="L195" s="42" t="str">
        <f>IF($F195&gt;=L$2,"-",IF(IFERROR(VLOOKUP($G195,$U:$U,1,1),0)&gt;=L$2,"o","-"))</f>
        <v>o</v>
      </c>
      <c r="M195" s="42" t="str">
        <f>IF($F195&gt;=M$2,"-",IF(IFERROR(VLOOKUP($G195,$U:$U,1,1),0)&gt;=M$2,"o","-"))</f>
        <v>-</v>
      </c>
      <c r="N195" s="42" t="str">
        <f>IF($F195&gt;=N$2,"-",IF(IFERROR(VLOOKUP($G195,$U:$U,1,1),0)&gt;=N$2,"o","-"))</f>
        <v>-</v>
      </c>
      <c r="O195" s="42" t="str">
        <f>IF($F195&gt;=O$2,"-",IF(IFERROR(VLOOKUP($G195,$U:$U,1,1),0)&gt;=O$2,"o","-"))</f>
        <v>-</v>
      </c>
      <c r="P195" s="42" t="str">
        <f>IF($F195&gt;=P$2,"-",IF(IFERROR(VLOOKUP($G195,$U:$U,1,1),0)&gt;=P$2,"o","-"))</f>
        <v>-</v>
      </c>
      <c r="Q195" s="42" t="str">
        <f>IF($F195&gt;=Q$2,"-",IF(IFERROR(VLOOKUP($G195,$U:$U,1,1),0)&gt;=Q$2,"o","-"))</f>
        <v>-</v>
      </c>
      <c r="R195" s="42" t="str">
        <f>IF($F195&gt;=R$2,"-",IF(IFERROR(VLOOKUP($G195,$U:$U,1,1),0)&gt;=R$2,"o","-"))</f>
        <v>-</v>
      </c>
      <c r="S195" s="12">
        <f>IF(L195="o",50000,0)+IF(M195="o",100000,0)+IF(N195="o",200000,0)+IF(O195="o",400000,0)+IF(P195="o",600000,0)+IF(Q195="o",1000000,0)+IF(R195="o",2000000,0)</f>
        <v>50000</v>
      </c>
    </row>
    <row r="196" spans="2:19">
      <c r="B196" s="9">
        <v>191</v>
      </c>
      <c r="C196" s="10" t="s">
        <v>587</v>
      </c>
      <c r="D196" s="10" t="s">
        <v>824</v>
      </c>
      <c r="E196" s="82">
        <v>40700441</v>
      </c>
      <c r="F196" s="85">
        <f>IFERROR(VLOOKUP(D196,'1월'!D:F,3,0),)</f>
        <v>0</v>
      </c>
      <c r="G196" s="58">
        <v>2</v>
      </c>
      <c r="H196" s="58"/>
      <c r="I196" s="58"/>
      <c r="J196" s="58"/>
      <c r="K196" s="81"/>
      <c r="L196" s="42" t="str">
        <f>IF($F196&gt;=L$2,"-",IF(IFERROR(VLOOKUP($G196,$U:$U,1,1),0)&gt;=L$2,"o","-"))</f>
        <v>o</v>
      </c>
      <c r="M196" s="42" t="str">
        <f>IF($F196&gt;=M$2,"-",IF(IFERROR(VLOOKUP($G196,$U:$U,1,1),0)&gt;=M$2,"o","-"))</f>
        <v>-</v>
      </c>
      <c r="N196" s="42" t="str">
        <f>IF($F196&gt;=N$2,"-",IF(IFERROR(VLOOKUP($G196,$U:$U,1,1),0)&gt;=N$2,"o","-"))</f>
        <v>-</v>
      </c>
      <c r="O196" s="42" t="str">
        <f>IF($F196&gt;=O$2,"-",IF(IFERROR(VLOOKUP($G196,$U:$U,1,1),0)&gt;=O$2,"o","-"))</f>
        <v>-</v>
      </c>
      <c r="P196" s="42" t="str">
        <f>IF($F196&gt;=P$2,"-",IF(IFERROR(VLOOKUP($G196,$U:$U,1,1),0)&gt;=P$2,"o","-"))</f>
        <v>-</v>
      </c>
      <c r="Q196" s="42" t="str">
        <f>IF($F196&gt;=Q$2,"-",IF(IFERROR(VLOOKUP($G196,$U:$U,1,1),0)&gt;=Q$2,"o","-"))</f>
        <v>-</v>
      </c>
      <c r="R196" s="42" t="str">
        <f>IF($F196&gt;=R$2,"-",IF(IFERROR(VLOOKUP($G196,$U:$U,1,1),0)&gt;=R$2,"o","-"))</f>
        <v>-</v>
      </c>
      <c r="S196" s="12">
        <f>IF(L196="o",50000,0)+IF(M196="o",100000,0)+IF(N196="o",200000,0)+IF(O196="o",400000,0)+IF(P196="o",600000,0)+IF(Q196="o",1000000,0)+IF(R196="o",2000000,0)</f>
        <v>50000</v>
      </c>
    </row>
    <row r="197" spans="2:19">
      <c r="B197" s="9">
        <v>192</v>
      </c>
      <c r="C197" s="10" t="s">
        <v>588</v>
      </c>
      <c r="D197" s="10" t="s">
        <v>825</v>
      </c>
      <c r="E197" s="82">
        <v>32503151</v>
      </c>
      <c r="F197" s="85">
        <f>IFERROR(VLOOKUP(D197,'1월'!D:F,3,0),)</f>
        <v>0</v>
      </c>
      <c r="G197" s="58">
        <v>2</v>
      </c>
      <c r="H197" s="58"/>
      <c r="I197" s="58"/>
      <c r="J197" s="58"/>
      <c r="K197" s="81"/>
      <c r="L197" s="42" t="str">
        <f>IF($F197&gt;=L$2,"-",IF(IFERROR(VLOOKUP($G197,$U:$U,1,1),0)&gt;=L$2,"o","-"))</f>
        <v>o</v>
      </c>
      <c r="M197" s="42" t="str">
        <f>IF($F197&gt;=M$2,"-",IF(IFERROR(VLOOKUP($G197,$U:$U,1,1),0)&gt;=M$2,"o","-"))</f>
        <v>-</v>
      </c>
      <c r="N197" s="42" t="str">
        <f>IF($F197&gt;=N$2,"-",IF(IFERROR(VLOOKUP($G197,$U:$U,1,1),0)&gt;=N$2,"o","-"))</f>
        <v>-</v>
      </c>
      <c r="O197" s="42" t="str">
        <f>IF($F197&gt;=O$2,"-",IF(IFERROR(VLOOKUP($G197,$U:$U,1,1),0)&gt;=O$2,"o","-"))</f>
        <v>-</v>
      </c>
      <c r="P197" s="42" t="str">
        <f>IF($F197&gt;=P$2,"-",IF(IFERROR(VLOOKUP($G197,$U:$U,1,1),0)&gt;=P$2,"o","-"))</f>
        <v>-</v>
      </c>
      <c r="Q197" s="42" t="str">
        <f>IF($F197&gt;=Q$2,"-",IF(IFERROR(VLOOKUP($G197,$U:$U,1,1),0)&gt;=Q$2,"o","-"))</f>
        <v>-</v>
      </c>
      <c r="R197" s="42" t="str">
        <f>IF($F197&gt;=R$2,"-",IF(IFERROR(VLOOKUP($G197,$U:$U,1,1),0)&gt;=R$2,"o","-"))</f>
        <v>-</v>
      </c>
      <c r="S197" s="12">
        <f>IF(L197="o",50000,0)+IF(M197="o",100000,0)+IF(N197="o",200000,0)+IF(O197="o",400000,0)+IF(P197="o",600000,0)+IF(Q197="o",1000000,0)+IF(R197="o",2000000,0)</f>
        <v>50000</v>
      </c>
    </row>
    <row r="198" spans="2:19">
      <c r="B198" s="9">
        <v>193</v>
      </c>
      <c r="C198" s="10" t="s">
        <v>589</v>
      </c>
      <c r="D198" s="10" t="s">
        <v>826</v>
      </c>
      <c r="E198" s="82">
        <v>41502288</v>
      </c>
      <c r="F198" s="85">
        <f>IFERROR(VLOOKUP(D198,'1월'!D:F,3,0),)</f>
        <v>0</v>
      </c>
      <c r="G198" s="58">
        <v>2</v>
      </c>
      <c r="H198" s="58"/>
      <c r="I198" s="58"/>
      <c r="J198" s="58"/>
      <c r="K198" s="81"/>
      <c r="L198" s="42" t="str">
        <f>IF($F198&gt;=L$2,"-",IF(IFERROR(VLOOKUP($G198,$U:$U,1,1),0)&gt;=L$2,"o","-"))</f>
        <v>o</v>
      </c>
      <c r="M198" s="42" t="str">
        <f>IF($F198&gt;=M$2,"-",IF(IFERROR(VLOOKUP($G198,$U:$U,1,1),0)&gt;=M$2,"o","-"))</f>
        <v>-</v>
      </c>
      <c r="N198" s="42" t="str">
        <f>IF($F198&gt;=N$2,"-",IF(IFERROR(VLOOKUP($G198,$U:$U,1,1),0)&gt;=N$2,"o","-"))</f>
        <v>-</v>
      </c>
      <c r="O198" s="42" t="str">
        <f>IF($F198&gt;=O$2,"-",IF(IFERROR(VLOOKUP($G198,$U:$U,1,1),0)&gt;=O$2,"o","-"))</f>
        <v>-</v>
      </c>
      <c r="P198" s="42" t="str">
        <f>IF($F198&gt;=P$2,"-",IF(IFERROR(VLOOKUP($G198,$U:$U,1,1),0)&gt;=P$2,"o","-"))</f>
        <v>-</v>
      </c>
      <c r="Q198" s="42" t="str">
        <f>IF($F198&gt;=Q$2,"-",IF(IFERROR(VLOOKUP($G198,$U:$U,1,1),0)&gt;=Q$2,"o","-"))</f>
        <v>-</v>
      </c>
      <c r="R198" s="42" t="str">
        <f>IF($F198&gt;=R$2,"-",IF(IFERROR(VLOOKUP($G198,$U:$U,1,1),0)&gt;=R$2,"o","-"))</f>
        <v>-</v>
      </c>
      <c r="S198" s="12">
        <f>IF(L198="o",50000,0)+IF(M198="o",100000,0)+IF(N198="o",200000,0)+IF(O198="o",400000,0)+IF(P198="o",600000,0)+IF(Q198="o",1000000,0)+IF(R198="o",2000000,0)</f>
        <v>50000</v>
      </c>
    </row>
    <row r="199" spans="2:19">
      <c r="B199" s="9">
        <v>194</v>
      </c>
      <c r="C199" s="10" t="s">
        <v>590</v>
      </c>
      <c r="D199" s="10" t="s">
        <v>827</v>
      </c>
      <c r="E199" s="82">
        <v>42302405</v>
      </c>
      <c r="F199" s="85">
        <f>IFERROR(VLOOKUP(D199,'1월'!D:F,3,0),)</f>
        <v>0</v>
      </c>
      <c r="G199" s="58">
        <v>2</v>
      </c>
      <c r="H199" s="58"/>
      <c r="I199" s="58"/>
      <c r="J199" s="58"/>
      <c r="K199" s="81"/>
      <c r="L199" s="42" t="str">
        <f>IF($F199&gt;=L$2,"-",IF(IFERROR(VLOOKUP($G199,$U:$U,1,1),0)&gt;=L$2,"o","-"))</f>
        <v>o</v>
      </c>
      <c r="M199" s="42" t="str">
        <f>IF($F199&gt;=M$2,"-",IF(IFERROR(VLOOKUP($G199,$U:$U,1,1),0)&gt;=M$2,"o","-"))</f>
        <v>-</v>
      </c>
      <c r="N199" s="42" t="str">
        <f>IF($F199&gt;=N$2,"-",IF(IFERROR(VLOOKUP($G199,$U:$U,1,1),0)&gt;=N$2,"o","-"))</f>
        <v>-</v>
      </c>
      <c r="O199" s="42" t="str">
        <f>IF($F199&gt;=O$2,"-",IF(IFERROR(VLOOKUP($G199,$U:$U,1,1),0)&gt;=O$2,"o","-"))</f>
        <v>-</v>
      </c>
      <c r="P199" s="42" t="str">
        <f>IF($F199&gt;=P$2,"-",IF(IFERROR(VLOOKUP($G199,$U:$U,1,1),0)&gt;=P$2,"o","-"))</f>
        <v>-</v>
      </c>
      <c r="Q199" s="42" t="str">
        <f>IF($F199&gt;=Q$2,"-",IF(IFERROR(VLOOKUP($G199,$U:$U,1,1),0)&gt;=Q$2,"o","-"))</f>
        <v>-</v>
      </c>
      <c r="R199" s="42" t="str">
        <f>IF($F199&gt;=R$2,"-",IF(IFERROR(VLOOKUP($G199,$U:$U,1,1),0)&gt;=R$2,"o","-"))</f>
        <v>-</v>
      </c>
      <c r="S199" s="12">
        <f>IF(L199="o",50000,0)+IF(M199="o",100000,0)+IF(N199="o",200000,0)+IF(O199="o",400000,0)+IF(P199="o",600000,0)+IF(Q199="o",1000000,0)+IF(R199="o",2000000,0)</f>
        <v>50000</v>
      </c>
    </row>
    <row r="200" spans="2:19">
      <c r="B200" s="9">
        <v>195</v>
      </c>
      <c r="C200" s="10" t="s">
        <v>591</v>
      </c>
      <c r="D200" s="10" t="s">
        <v>828</v>
      </c>
      <c r="E200" s="82">
        <v>29600210</v>
      </c>
      <c r="F200" s="85">
        <f>IFERROR(VLOOKUP(D200,'1월'!D:F,3,0),)</f>
        <v>0</v>
      </c>
      <c r="G200" s="58">
        <v>2</v>
      </c>
      <c r="H200" s="58"/>
      <c r="I200" s="58"/>
      <c r="J200" s="58"/>
      <c r="K200" s="81"/>
      <c r="L200" s="42" t="str">
        <f>IF($F200&gt;=L$2,"-",IF(IFERROR(VLOOKUP($G200,$U:$U,1,1),0)&gt;=L$2,"o","-"))</f>
        <v>o</v>
      </c>
      <c r="M200" s="42" t="str">
        <f>IF($F200&gt;=M$2,"-",IF(IFERROR(VLOOKUP($G200,$U:$U,1,1),0)&gt;=M$2,"o","-"))</f>
        <v>-</v>
      </c>
      <c r="N200" s="42" t="str">
        <f>IF($F200&gt;=N$2,"-",IF(IFERROR(VLOOKUP($G200,$U:$U,1,1),0)&gt;=N$2,"o","-"))</f>
        <v>-</v>
      </c>
      <c r="O200" s="42" t="str">
        <f>IF($F200&gt;=O$2,"-",IF(IFERROR(VLOOKUP($G200,$U:$U,1,1),0)&gt;=O$2,"o","-"))</f>
        <v>-</v>
      </c>
      <c r="P200" s="42" t="str">
        <f>IF($F200&gt;=P$2,"-",IF(IFERROR(VLOOKUP($G200,$U:$U,1,1),0)&gt;=P$2,"o","-"))</f>
        <v>-</v>
      </c>
      <c r="Q200" s="42" t="str">
        <f>IF($F200&gt;=Q$2,"-",IF(IFERROR(VLOOKUP($G200,$U:$U,1,1),0)&gt;=Q$2,"o","-"))</f>
        <v>-</v>
      </c>
      <c r="R200" s="42" t="str">
        <f>IF($F200&gt;=R$2,"-",IF(IFERROR(VLOOKUP($G200,$U:$U,1,1),0)&gt;=R$2,"o","-"))</f>
        <v>-</v>
      </c>
      <c r="S200" s="12">
        <f>IF(L200="o",50000,0)+IF(M200="o",100000,0)+IF(N200="o",200000,0)+IF(O200="o",400000,0)+IF(P200="o",600000,0)+IF(Q200="o",1000000,0)+IF(R200="o",2000000,0)</f>
        <v>50000</v>
      </c>
    </row>
    <row r="201" spans="2:19">
      <c r="B201" s="9">
        <v>196</v>
      </c>
      <c r="C201" s="10" t="s">
        <v>592</v>
      </c>
      <c r="D201" s="10" t="s">
        <v>829</v>
      </c>
      <c r="E201" s="82">
        <v>32409417</v>
      </c>
      <c r="F201" s="85">
        <f>IFERROR(VLOOKUP(D201,'1월'!D:F,3,0),)</f>
        <v>0</v>
      </c>
      <c r="G201" s="58">
        <v>2</v>
      </c>
      <c r="H201" s="58"/>
      <c r="I201" s="58"/>
      <c r="J201" s="58"/>
      <c r="K201" s="81"/>
      <c r="L201" s="42" t="str">
        <f>IF($F201&gt;=L$2,"-",IF(IFERROR(VLOOKUP($G201,$U:$U,1,1),0)&gt;=L$2,"o","-"))</f>
        <v>o</v>
      </c>
      <c r="M201" s="42" t="str">
        <f>IF($F201&gt;=M$2,"-",IF(IFERROR(VLOOKUP($G201,$U:$U,1,1),0)&gt;=M$2,"o","-"))</f>
        <v>-</v>
      </c>
      <c r="N201" s="42" t="str">
        <f>IF($F201&gt;=N$2,"-",IF(IFERROR(VLOOKUP($G201,$U:$U,1,1),0)&gt;=N$2,"o","-"))</f>
        <v>-</v>
      </c>
      <c r="O201" s="42" t="str">
        <f>IF($F201&gt;=O$2,"-",IF(IFERROR(VLOOKUP($G201,$U:$U,1,1),0)&gt;=O$2,"o","-"))</f>
        <v>-</v>
      </c>
      <c r="P201" s="42" t="str">
        <f>IF($F201&gt;=P$2,"-",IF(IFERROR(VLOOKUP($G201,$U:$U,1,1),0)&gt;=P$2,"o","-"))</f>
        <v>-</v>
      </c>
      <c r="Q201" s="42" t="str">
        <f>IF($F201&gt;=Q$2,"-",IF(IFERROR(VLOOKUP($G201,$U:$U,1,1),0)&gt;=Q$2,"o","-"))</f>
        <v>-</v>
      </c>
      <c r="R201" s="42" t="str">
        <f>IF($F201&gt;=R$2,"-",IF(IFERROR(VLOOKUP($G201,$U:$U,1,1),0)&gt;=R$2,"o","-"))</f>
        <v>-</v>
      </c>
      <c r="S201" s="12">
        <f>IF(L201="o",50000,0)+IF(M201="o",100000,0)+IF(N201="o",200000,0)+IF(O201="o",400000,0)+IF(P201="o",600000,0)+IF(Q201="o",1000000,0)+IF(R201="o",2000000,0)</f>
        <v>50000</v>
      </c>
    </row>
    <row r="202" spans="2:19">
      <c r="B202" s="9">
        <v>197</v>
      </c>
      <c r="C202" s="10" t="s">
        <v>593</v>
      </c>
      <c r="D202" s="10" t="s">
        <v>830</v>
      </c>
      <c r="E202" s="82">
        <v>41803338</v>
      </c>
      <c r="F202" s="85">
        <f>IFERROR(VLOOKUP(D202,'1월'!D:F,3,0),)</f>
        <v>0</v>
      </c>
      <c r="G202" s="58">
        <v>2</v>
      </c>
      <c r="H202" s="58"/>
      <c r="I202" s="58"/>
      <c r="J202" s="58"/>
      <c r="K202" s="81"/>
      <c r="L202" s="42" t="str">
        <f>IF($F202&gt;=L$2,"-",IF(IFERROR(VLOOKUP($G202,$U:$U,1,1),0)&gt;=L$2,"o","-"))</f>
        <v>o</v>
      </c>
      <c r="M202" s="42" t="str">
        <f>IF($F202&gt;=M$2,"-",IF(IFERROR(VLOOKUP($G202,$U:$U,1,1),0)&gt;=M$2,"o","-"))</f>
        <v>-</v>
      </c>
      <c r="N202" s="42" t="str">
        <f>IF($F202&gt;=N$2,"-",IF(IFERROR(VLOOKUP($G202,$U:$U,1,1),0)&gt;=N$2,"o","-"))</f>
        <v>-</v>
      </c>
      <c r="O202" s="42" t="str">
        <f>IF($F202&gt;=O$2,"-",IF(IFERROR(VLOOKUP($G202,$U:$U,1,1),0)&gt;=O$2,"o","-"))</f>
        <v>-</v>
      </c>
      <c r="P202" s="42" t="str">
        <f>IF($F202&gt;=P$2,"-",IF(IFERROR(VLOOKUP($G202,$U:$U,1,1),0)&gt;=P$2,"o","-"))</f>
        <v>-</v>
      </c>
      <c r="Q202" s="42" t="str">
        <f>IF($F202&gt;=Q$2,"-",IF(IFERROR(VLOOKUP($G202,$U:$U,1,1),0)&gt;=Q$2,"o","-"))</f>
        <v>-</v>
      </c>
      <c r="R202" s="42" t="str">
        <f>IF($F202&gt;=R$2,"-",IF(IFERROR(VLOOKUP($G202,$U:$U,1,1),0)&gt;=R$2,"o","-"))</f>
        <v>-</v>
      </c>
      <c r="S202" s="12">
        <f>IF(L202="o",50000,0)+IF(M202="o",100000,0)+IF(N202="o",200000,0)+IF(O202="o",400000,0)+IF(P202="o",600000,0)+IF(Q202="o",1000000,0)+IF(R202="o",2000000,0)</f>
        <v>50000</v>
      </c>
    </row>
    <row r="203" spans="2:19">
      <c r="B203" s="9">
        <v>198</v>
      </c>
      <c r="C203" s="10" t="s">
        <v>594</v>
      </c>
      <c r="D203" s="10" t="s">
        <v>831</v>
      </c>
      <c r="E203" s="82">
        <v>32000672</v>
      </c>
      <c r="F203" s="85">
        <f>IFERROR(VLOOKUP(D203,'1월'!D:F,3,0),)</f>
        <v>0</v>
      </c>
      <c r="G203" s="58">
        <v>2</v>
      </c>
      <c r="H203" s="58"/>
      <c r="I203" s="58"/>
      <c r="J203" s="58"/>
      <c r="K203" s="81"/>
      <c r="L203" s="42" t="str">
        <f>IF($F203&gt;=L$2,"-",IF(IFERROR(VLOOKUP($G203,$U:$U,1,1),0)&gt;=L$2,"o","-"))</f>
        <v>o</v>
      </c>
      <c r="M203" s="42" t="str">
        <f>IF($F203&gt;=M$2,"-",IF(IFERROR(VLOOKUP($G203,$U:$U,1,1),0)&gt;=M$2,"o","-"))</f>
        <v>-</v>
      </c>
      <c r="N203" s="42" t="str">
        <f>IF($F203&gt;=N$2,"-",IF(IFERROR(VLOOKUP($G203,$U:$U,1,1),0)&gt;=N$2,"o","-"))</f>
        <v>-</v>
      </c>
      <c r="O203" s="42" t="str">
        <f>IF($F203&gt;=O$2,"-",IF(IFERROR(VLOOKUP($G203,$U:$U,1,1),0)&gt;=O$2,"o","-"))</f>
        <v>-</v>
      </c>
      <c r="P203" s="42" t="str">
        <f>IF($F203&gt;=P$2,"-",IF(IFERROR(VLOOKUP($G203,$U:$U,1,1),0)&gt;=P$2,"o","-"))</f>
        <v>-</v>
      </c>
      <c r="Q203" s="42" t="str">
        <f>IF($F203&gt;=Q$2,"-",IF(IFERROR(VLOOKUP($G203,$U:$U,1,1),0)&gt;=Q$2,"o","-"))</f>
        <v>-</v>
      </c>
      <c r="R203" s="42" t="str">
        <f>IF($F203&gt;=R$2,"-",IF(IFERROR(VLOOKUP($G203,$U:$U,1,1),0)&gt;=R$2,"o","-"))</f>
        <v>-</v>
      </c>
      <c r="S203" s="12">
        <f>IF(L203="o",50000,0)+IF(M203="o",100000,0)+IF(N203="o",200000,0)+IF(O203="o",400000,0)+IF(P203="o",600000,0)+IF(Q203="o",1000000,0)+IF(R203="o",2000000,0)</f>
        <v>50000</v>
      </c>
    </row>
    <row r="204" spans="2:19">
      <c r="B204" s="9">
        <v>199</v>
      </c>
      <c r="C204" s="10" t="s">
        <v>595</v>
      </c>
      <c r="D204" s="10" t="s">
        <v>832</v>
      </c>
      <c r="E204" s="82">
        <v>41806533</v>
      </c>
      <c r="F204" s="85">
        <f>IFERROR(VLOOKUP(D204,'1월'!D:F,3,0),)</f>
        <v>0</v>
      </c>
      <c r="G204" s="58">
        <v>2</v>
      </c>
      <c r="H204" s="58"/>
      <c r="I204" s="58"/>
      <c r="J204" s="58"/>
      <c r="K204" s="81"/>
      <c r="L204" s="42" t="str">
        <f>IF($F204&gt;=L$2,"-",IF(IFERROR(VLOOKUP($G204,$U:$U,1,1),0)&gt;=L$2,"o","-"))</f>
        <v>o</v>
      </c>
      <c r="M204" s="42" t="str">
        <f>IF($F204&gt;=M$2,"-",IF(IFERROR(VLOOKUP($G204,$U:$U,1,1),0)&gt;=M$2,"o","-"))</f>
        <v>-</v>
      </c>
      <c r="N204" s="42" t="str">
        <f>IF($F204&gt;=N$2,"-",IF(IFERROR(VLOOKUP($G204,$U:$U,1,1),0)&gt;=N$2,"o","-"))</f>
        <v>-</v>
      </c>
      <c r="O204" s="42" t="str">
        <f>IF($F204&gt;=O$2,"-",IF(IFERROR(VLOOKUP($G204,$U:$U,1,1),0)&gt;=O$2,"o","-"))</f>
        <v>-</v>
      </c>
      <c r="P204" s="42" t="str">
        <f>IF($F204&gt;=P$2,"-",IF(IFERROR(VLOOKUP($G204,$U:$U,1,1),0)&gt;=P$2,"o","-"))</f>
        <v>-</v>
      </c>
      <c r="Q204" s="42" t="str">
        <f>IF($F204&gt;=Q$2,"-",IF(IFERROR(VLOOKUP($G204,$U:$U,1,1),0)&gt;=Q$2,"o","-"))</f>
        <v>-</v>
      </c>
      <c r="R204" s="42" t="str">
        <f>IF($F204&gt;=R$2,"-",IF(IFERROR(VLOOKUP($G204,$U:$U,1,1),0)&gt;=R$2,"o","-"))</f>
        <v>-</v>
      </c>
      <c r="S204" s="12">
        <f>IF(L204="o",50000,0)+IF(M204="o",100000,0)+IF(N204="o",200000,0)+IF(O204="o",400000,0)+IF(P204="o",600000,0)+IF(Q204="o",1000000,0)+IF(R204="o",2000000,0)</f>
        <v>50000</v>
      </c>
    </row>
    <row r="205" spans="2:19">
      <c r="B205" s="9">
        <v>200</v>
      </c>
      <c r="C205" s="10" t="s">
        <v>596</v>
      </c>
      <c r="D205" s="10" t="s">
        <v>833</v>
      </c>
      <c r="E205" s="82">
        <v>30703115</v>
      </c>
      <c r="F205" s="85">
        <f>IFERROR(VLOOKUP(D205,'1월'!D:F,3,0),)</f>
        <v>0</v>
      </c>
      <c r="G205" s="58">
        <v>2</v>
      </c>
      <c r="H205" s="58"/>
      <c r="I205" s="58"/>
      <c r="J205" s="58"/>
      <c r="K205" s="81"/>
      <c r="L205" s="42" t="str">
        <f>IF($F205&gt;=L$2,"-",IF(IFERROR(VLOOKUP($G205,$U:$U,1,1),0)&gt;=L$2,"o","-"))</f>
        <v>o</v>
      </c>
      <c r="M205" s="42" t="str">
        <f>IF($F205&gt;=M$2,"-",IF(IFERROR(VLOOKUP($G205,$U:$U,1,1),0)&gt;=M$2,"o","-"))</f>
        <v>-</v>
      </c>
      <c r="N205" s="42" t="str">
        <f>IF($F205&gt;=N$2,"-",IF(IFERROR(VLOOKUP($G205,$U:$U,1,1),0)&gt;=N$2,"o","-"))</f>
        <v>-</v>
      </c>
      <c r="O205" s="42" t="str">
        <f>IF($F205&gt;=O$2,"-",IF(IFERROR(VLOOKUP($G205,$U:$U,1,1),0)&gt;=O$2,"o","-"))</f>
        <v>-</v>
      </c>
      <c r="P205" s="42" t="str">
        <f>IF($F205&gt;=P$2,"-",IF(IFERROR(VLOOKUP($G205,$U:$U,1,1),0)&gt;=P$2,"o","-"))</f>
        <v>-</v>
      </c>
      <c r="Q205" s="42" t="str">
        <f>IF($F205&gt;=Q$2,"-",IF(IFERROR(VLOOKUP($G205,$U:$U,1,1),0)&gt;=Q$2,"o","-"))</f>
        <v>-</v>
      </c>
      <c r="R205" s="42" t="str">
        <f>IF($F205&gt;=R$2,"-",IF(IFERROR(VLOOKUP($G205,$U:$U,1,1),0)&gt;=R$2,"o","-"))</f>
        <v>-</v>
      </c>
      <c r="S205" s="12">
        <f>IF(L205="o",50000,0)+IF(M205="o",100000,0)+IF(N205="o",200000,0)+IF(O205="o",400000,0)+IF(P205="o",600000,0)+IF(Q205="o",1000000,0)+IF(R205="o",2000000,0)</f>
        <v>50000</v>
      </c>
    </row>
    <row r="206" spans="2:19">
      <c r="B206" s="9">
        <v>201</v>
      </c>
      <c r="C206" s="10" t="s">
        <v>597</v>
      </c>
      <c r="D206" s="10" t="s">
        <v>834</v>
      </c>
      <c r="E206" s="82">
        <v>32303342</v>
      </c>
      <c r="F206" s="85">
        <f>IFERROR(VLOOKUP(D206,'1월'!D:F,3,0),)</f>
        <v>0</v>
      </c>
      <c r="G206" s="58">
        <v>2</v>
      </c>
      <c r="H206" s="58"/>
      <c r="I206" s="58"/>
      <c r="J206" s="58"/>
      <c r="K206" s="81"/>
      <c r="L206" s="42" t="str">
        <f>IF($F206&gt;=L$2,"-",IF(IFERROR(VLOOKUP($G206,$U:$U,1,1),0)&gt;=L$2,"o","-"))</f>
        <v>o</v>
      </c>
      <c r="M206" s="42" t="str">
        <f>IF($F206&gt;=M$2,"-",IF(IFERROR(VLOOKUP($G206,$U:$U,1,1),0)&gt;=M$2,"o","-"))</f>
        <v>-</v>
      </c>
      <c r="N206" s="42" t="str">
        <f>IF($F206&gt;=N$2,"-",IF(IFERROR(VLOOKUP($G206,$U:$U,1,1),0)&gt;=N$2,"o","-"))</f>
        <v>-</v>
      </c>
      <c r="O206" s="42" t="str">
        <f>IF($F206&gt;=O$2,"-",IF(IFERROR(VLOOKUP($G206,$U:$U,1,1),0)&gt;=O$2,"o","-"))</f>
        <v>-</v>
      </c>
      <c r="P206" s="42" t="str">
        <f>IF($F206&gt;=P$2,"-",IF(IFERROR(VLOOKUP($G206,$U:$U,1,1),0)&gt;=P$2,"o","-"))</f>
        <v>-</v>
      </c>
      <c r="Q206" s="42" t="str">
        <f>IF($F206&gt;=Q$2,"-",IF(IFERROR(VLOOKUP($G206,$U:$U,1,1),0)&gt;=Q$2,"o","-"))</f>
        <v>-</v>
      </c>
      <c r="R206" s="42" t="str">
        <f>IF($F206&gt;=R$2,"-",IF(IFERROR(VLOOKUP($G206,$U:$U,1,1),0)&gt;=R$2,"o","-"))</f>
        <v>-</v>
      </c>
      <c r="S206" s="12">
        <f>IF(L206="o",50000,0)+IF(M206="o",100000,0)+IF(N206="o",200000,0)+IF(O206="o",400000,0)+IF(P206="o",600000,0)+IF(Q206="o",1000000,0)+IF(R206="o",2000000,0)</f>
        <v>50000</v>
      </c>
    </row>
    <row r="207" spans="2:19">
      <c r="B207" s="9">
        <v>202</v>
      </c>
      <c r="C207" s="10" t="s">
        <v>598</v>
      </c>
      <c r="D207" s="10" t="s">
        <v>835</v>
      </c>
      <c r="E207" s="82">
        <v>41307212</v>
      </c>
      <c r="F207" s="85">
        <f>IFERROR(VLOOKUP(D207,'1월'!D:F,3,0),)</f>
        <v>0</v>
      </c>
      <c r="G207" s="58">
        <v>2</v>
      </c>
      <c r="H207" s="58"/>
      <c r="I207" s="58"/>
      <c r="J207" s="58"/>
      <c r="K207" s="81"/>
      <c r="L207" s="42" t="str">
        <f>IF($F207&gt;=L$2,"-",IF(IFERROR(VLOOKUP($G207,$U:$U,1,1),0)&gt;=L$2,"o","-"))</f>
        <v>o</v>
      </c>
      <c r="M207" s="42" t="str">
        <f>IF($F207&gt;=M$2,"-",IF(IFERROR(VLOOKUP($G207,$U:$U,1,1),0)&gt;=M$2,"o","-"))</f>
        <v>-</v>
      </c>
      <c r="N207" s="42" t="str">
        <f>IF($F207&gt;=N$2,"-",IF(IFERROR(VLOOKUP($G207,$U:$U,1,1),0)&gt;=N$2,"o","-"))</f>
        <v>-</v>
      </c>
      <c r="O207" s="42" t="str">
        <f>IF($F207&gt;=O$2,"-",IF(IFERROR(VLOOKUP($G207,$U:$U,1,1),0)&gt;=O$2,"o","-"))</f>
        <v>-</v>
      </c>
      <c r="P207" s="42" t="str">
        <f>IF($F207&gt;=P$2,"-",IF(IFERROR(VLOOKUP($G207,$U:$U,1,1),0)&gt;=P$2,"o","-"))</f>
        <v>-</v>
      </c>
      <c r="Q207" s="42" t="str">
        <f>IF($F207&gt;=Q$2,"-",IF(IFERROR(VLOOKUP($G207,$U:$U,1,1),0)&gt;=Q$2,"o","-"))</f>
        <v>-</v>
      </c>
      <c r="R207" s="42" t="str">
        <f>IF($F207&gt;=R$2,"-",IF(IFERROR(VLOOKUP($G207,$U:$U,1,1),0)&gt;=R$2,"o","-"))</f>
        <v>-</v>
      </c>
      <c r="S207" s="12">
        <f>IF(L207="o",50000,0)+IF(M207="o",100000,0)+IF(N207="o",200000,0)+IF(O207="o",400000,0)+IF(P207="o",600000,0)+IF(Q207="o",1000000,0)+IF(R207="o",2000000,0)</f>
        <v>50000</v>
      </c>
    </row>
    <row r="208" spans="2:19">
      <c r="B208" s="9">
        <v>203</v>
      </c>
      <c r="C208" s="10" t="s">
        <v>599</v>
      </c>
      <c r="D208" s="10" t="s">
        <v>836</v>
      </c>
      <c r="E208" s="82">
        <v>41404746</v>
      </c>
      <c r="F208" s="85">
        <f>IFERROR(VLOOKUP(D208,'1월'!D:F,3,0),)</f>
        <v>0</v>
      </c>
      <c r="G208" s="58">
        <v>2</v>
      </c>
      <c r="H208" s="58"/>
      <c r="I208" s="58"/>
      <c r="J208" s="58"/>
      <c r="K208" s="81"/>
      <c r="L208" s="42" t="str">
        <f>IF($F208&gt;=L$2,"-",IF(IFERROR(VLOOKUP($G208,$U:$U,1,1),0)&gt;=L$2,"o","-"))</f>
        <v>o</v>
      </c>
      <c r="M208" s="42" t="str">
        <f>IF($F208&gt;=M$2,"-",IF(IFERROR(VLOOKUP($G208,$U:$U,1,1),0)&gt;=M$2,"o","-"))</f>
        <v>-</v>
      </c>
      <c r="N208" s="42" t="str">
        <f>IF($F208&gt;=N$2,"-",IF(IFERROR(VLOOKUP($G208,$U:$U,1,1),0)&gt;=N$2,"o","-"))</f>
        <v>-</v>
      </c>
      <c r="O208" s="42" t="str">
        <f>IF($F208&gt;=O$2,"-",IF(IFERROR(VLOOKUP($G208,$U:$U,1,1),0)&gt;=O$2,"o","-"))</f>
        <v>-</v>
      </c>
      <c r="P208" s="42" t="str">
        <f>IF($F208&gt;=P$2,"-",IF(IFERROR(VLOOKUP($G208,$U:$U,1,1),0)&gt;=P$2,"o","-"))</f>
        <v>-</v>
      </c>
      <c r="Q208" s="42" t="str">
        <f>IF($F208&gt;=Q$2,"-",IF(IFERROR(VLOOKUP($G208,$U:$U,1,1),0)&gt;=Q$2,"o","-"))</f>
        <v>-</v>
      </c>
      <c r="R208" s="42" t="str">
        <f>IF($F208&gt;=R$2,"-",IF(IFERROR(VLOOKUP($G208,$U:$U,1,1),0)&gt;=R$2,"o","-"))</f>
        <v>-</v>
      </c>
      <c r="S208" s="12">
        <f>IF(L208="o",50000,0)+IF(M208="o",100000,0)+IF(N208="o",200000,0)+IF(O208="o",400000,0)+IF(P208="o",600000,0)+IF(Q208="o",1000000,0)+IF(R208="o",2000000,0)</f>
        <v>50000</v>
      </c>
    </row>
    <row r="209" spans="2:19">
      <c r="B209" s="9">
        <v>204</v>
      </c>
      <c r="C209" s="10" t="s">
        <v>132</v>
      </c>
      <c r="D209" s="10" t="s">
        <v>837</v>
      </c>
      <c r="E209" s="82">
        <v>42302667</v>
      </c>
      <c r="F209" s="85">
        <f>IFERROR(VLOOKUP(D209,'1월'!D:F,3,0),)</f>
        <v>0</v>
      </c>
      <c r="G209" s="58">
        <v>2</v>
      </c>
      <c r="H209" s="58"/>
      <c r="I209" s="58"/>
      <c r="J209" s="58"/>
      <c r="K209" s="81"/>
      <c r="L209" s="42" t="str">
        <f>IF($F209&gt;=L$2,"-",IF(IFERROR(VLOOKUP($G209,$U:$U,1,1),0)&gt;=L$2,"o","-"))</f>
        <v>o</v>
      </c>
      <c r="M209" s="42" t="str">
        <f>IF($F209&gt;=M$2,"-",IF(IFERROR(VLOOKUP($G209,$U:$U,1,1),0)&gt;=M$2,"o","-"))</f>
        <v>-</v>
      </c>
      <c r="N209" s="42" t="str">
        <f>IF($F209&gt;=N$2,"-",IF(IFERROR(VLOOKUP($G209,$U:$U,1,1),0)&gt;=N$2,"o","-"))</f>
        <v>-</v>
      </c>
      <c r="O209" s="42" t="str">
        <f>IF($F209&gt;=O$2,"-",IF(IFERROR(VLOOKUP($G209,$U:$U,1,1),0)&gt;=O$2,"o","-"))</f>
        <v>-</v>
      </c>
      <c r="P209" s="42" t="str">
        <f>IF($F209&gt;=P$2,"-",IF(IFERROR(VLOOKUP($G209,$U:$U,1,1),0)&gt;=P$2,"o","-"))</f>
        <v>-</v>
      </c>
      <c r="Q209" s="42" t="str">
        <f>IF($F209&gt;=Q$2,"-",IF(IFERROR(VLOOKUP($G209,$U:$U,1,1),0)&gt;=Q$2,"o","-"))</f>
        <v>-</v>
      </c>
      <c r="R209" s="42" t="str">
        <f>IF($F209&gt;=R$2,"-",IF(IFERROR(VLOOKUP($G209,$U:$U,1,1),0)&gt;=R$2,"o","-"))</f>
        <v>-</v>
      </c>
      <c r="S209" s="12">
        <f>IF(L209="o",50000,0)+IF(M209="o",100000,0)+IF(N209="o",200000,0)+IF(O209="o",400000,0)+IF(P209="o",600000,0)+IF(Q209="o",1000000,0)+IF(R209="o",2000000,0)</f>
        <v>50000</v>
      </c>
    </row>
    <row r="210" spans="2:19">
      <c r="B210" s="9">
        <v>205</v>
      </c>
      <c r="C210" s="10" t="s">
        <v>600</v>
      </c>
      <c r="D210" s="10" t="s">
        <v>838</v>
      </c>
      <c r="E210" s="82">
        <v>41602250</v>
      </c>
      <c r="F210" s="85">
        <f>IFERROR(VLOOKUP(D210,'1월'!D:F,3,0),)</f>
        <v>0</v>
      </c>
      <c r="G210" s="58">
        <v>2</v>
      </c>
      <c r="H210" s="58"/>
      <c r="I210" s="58"/>
      <c r="J210" s="58"/>
      <c r="K210" s="81"/>
      <c r="L210" s="42" t="str">
        <f>IF($F210&gt;=L$2,"-",IF(IFERROR(VLOOKUP($G210,$U:$U,1,1),0)&gt;=L$2,"o","-"))</f>
        <v>o</v>
      </c>
      <c r="M210" s="42" t="str">
        <f>IF($F210&gt;=M$2,"-",IF(IFERROR(VLOOKUP($G210,$U:$U,1,1),0)&gt;=M$2,"o","-"))</f>
        <v>-</v>
      </c>
      <c r="N210" s="42" t="str">
        <f>IF($F210&gt;=N$2,"-",IF(IFERROR(VLOOKUP($G210,$U:$U,1,1),0)&gt;=N$2,"o","-"))</f>
        <v>-</v>
      </c>
      <c r="O210" s="42" t="str">
        <f>IF($F210&gt;=O$2,"-",IF(IFERROR(VLOOKUP($G210,$U:$U,1,1),0)&gt;=O$2,"o","-"))</f>
        <v>-</v>
      </c>
      <c r="P210" s="42" t="str">
        <f>IF($F210&gt;=P$2,"-",IF(IFERROR(VLOOKUP($G210,$U:$U,1,1),0)&gt;=P$2,"o","-"))</f>
        <v>-</v>
      </c>
      <c r="Q210" s="42" t="str">
        <f>IF($F210&gt;=Q$2,"-",IF(IFERROR(VLOOKUP($G210,$U:$U,1,1),0)&gt;=Q$2,"o","-"))</f>
        <v>-</v>
      </c>
      <c r="R210" s="42" t="str">
        <f>IF($F210&gt;=R$2,"-",IF(IFERROR(VLOOKUP($G210,$U:$U,1,1),0)&gt;=R$2,"o","-"))</f>
        <v>-</v>
      </c>
      <c r="S210" s="12">
        <f>IF(L210="o",50000,0)+IF(M210="o",100000,0)+IF(N210="o",200000,0)+IF(O210="o",400000,0)+IF(P210="o",600000,0)+IF(Q210="o",1000000,0)+IF(R210="o",2000000,0)</f>
        <v>50000</v>
      </c>
    </row>
    <row r="211" spans="2:19">
      <c r="B211" s="9">
        <v>206</v>
      </c>
      <c r="C211" s="10" t="s">
        <v>601</v>
      </c>
      <c r="D211" s="10" t="s">
        <v>839</v>
      </c>
      <c r="E211" s="82">
        <v>32408797</v>
      </c>
      <c r="F211" s="85">
        <f>IFERROR(VLOOKUP(D211,'1월'!D:F,3,0),)</f>
        <v>0</v>
      </c>
      <c r="G211" s="58">
        <v>2</v>
      </c>
      <c r="H211" s="58"/>
      <c r="I211" s="58"/>
      <c r="J211" s="58"/>
      <c r="K211" s="81"/>
      <c r="L211" s="42" t="str">
        <f>IF($F211&gt;=L$2,"-",IF(IFERROR(VLOOKUP($G211,$U:$U,1,1),0)&gt;=L$2,"o","-"))</f>
        <v>o</v>
      </c>
      <c r="M211" s="42" t="str">
        <f>IF($F211&gt;=M$2,"-",IF(IFERROR(VLOOKUP($G211,$U:$U,1,1),0)&gt;=M$2,"o","-"))</f>
        <v>-</v>
      </c>
      <c r="N211" s="42" t="str">
        <f>IF($F211&gt;=N$2,"-",IF(IFERROR(VLOOKUP($G211,$U:$U,1,1),0)&gt;=N$2,"o","-"))</f>
        <v>-</v>
      </c>
      <c r="O211" s="42" t="str">
        <f>IF($F211&gt;=O$2,"-",IF(IFERROR(VLOOKUP($G211,$U:$U,1,1),0)&gt;=O$2,"o","-"))</f>
        <v>-</v>
      </c>
      <c r="P211" s="42" t="str">
        <f>IF($F211&gt;=P$2,"-",IF(IFERROR(VLOOKUP($G211,$U:$U,1,1),0)&gt;=P$2,"o","-"))</f>
        <v>-</v>
      </c>
      <c r="Q211" s="42" t="str">
        <f>IF($F211&gt;=Q$2,"-",IF(IFERROR(VLOOKUP($G211,$U:$U,1,1),0)&gt;=Q$2,"o","-"))</f>
        <v>-</v>
      </c>
      <c r="R211" s="42" t="str">
        <f>IF($F211&gt;=R$2,"-",IF(IFERROR(VLOOKUP($G211,$U:$U,1,1),0)&gt;=R$2,"o","-"))</f>
        <v>-</v>
      </c>
      <c r="S211" s="12">
        <f>IF(L211="o",50000,0)+IF(M211="o",100000,0)+IF(N211="o",200000,0)+IF(O211="o",400000,0)+IF(P211="o",600000,0)+IF(Q211="o",1000000,0)+IF(R211="o",2000000,0)</f>
        <v>50000</v>
      </c>
    </row>
    <row r="212" spans="2:19">
      <c r="B212" s="9">
        <v>207</v>
      </c>
      <c r="C212" s="10" t="s">
        <v>602</v>
      </c>
      <c r="D212" s="10" t="s">
        <v>840</v>
      </c>
      <c r="E212" s="82">
        <v>32302587</v>
      </c>
      <c r="F212" s="85">
        <f>IFERROR(VLOOKUP(D212,'1월'!D:F,3,0),)</f>
        <v>0</v>
      </c>
      <c r="G212" s="58">
        <v>2</v>
      </c>
      <c r="H212" s="58"/>
      <c r="I212" s="58"/>
      <c r="J212" s="58"/>
      <c r="K212" s="81"/>
      <c r="L212" s="42" t="str">
        <f>IF($F212&gt;=L$2,"-",IF(IFERROR(VLOOKUP($G212,$U:$U,1,1),0)&gt;=L$2,"o","-"))</f>
        <v>o</v>
      </c>
      <c r="M212" s="42" t="str">
        <f>IF($F212&gt;=M$2,"-",IF(IFERROR(VLOOKUP($G212,$U:$U,1,1),0)&gt;=M$2,"o","-"))</f>
        <v>-</v>
      </c>
      <c r="N212" s="42" t="str">
        <f>IF($F212&gt;=N$2,"-",IF(IFERROR(VLOOKUP($G212,$U:$U,1,1),0)&gt;=N$2,"o","-"))</f>
        <v>-</v>
      </c>
      <c r="O212" s="42" t="str">
        <f>IF($F212&gt;=O$2,"-",IF(IFERROR(VLOOKUP($G212,$U:$U,1,1),0)&gt;=O$2,"o","-"))</f>
        <v>-</v>
      </c>
      <c r="P212" s="42" t="str">
        <f>IF($F212&gt;=P$2,"-",IF(IFERROR(VLOOKUP($G212,$U:$U,1,1),0)&gt;=P$2,"o","-"))</f>
        <v>-</v>
      </c>
      <c r="Q212" s="42" t="str">
        <f>IF($F212&gt;=Q$2,"-",IF(IFERROR(VLOOKUP($G212,$U:$U,1,1),0)&gt;=Q$2,"o","-"))</f>
        <v>-</v>
      </c>
      <c r="R212" s="42" t="str">
        <f>IF($F212&gt;=R$2,"-",IF(IFERROR(VLOOKUP($G212,$U:$U,1,1),0)&gt;=R$2,"o","-"))</f>
        <v>-</v>
      </c>
      <c r="S212" s="12">
        <f>IF(L212="o",50000,0)+IF(M212="o",100000,0)+IF(N212="o",200000,0)+IF(O212="o",400000,0)+IF(P212="o",600000,0)+IF(Q212="o",1000000,0)+IF(R212="o",2000000,0)</f>
        <v>50000</v>
      </c>
    </row>
    <row r="213" spans="2:19">
      <c r="B213" s="9">
        <v>208</v>
      </c>
      <c r="C213" s="10" t="s">
        <v>603</v>
      </c>
      <c r="D213" s="10" t="s">
        <v>841</v>
      </c>
      <c r="E213" s="82">
        <v>31108124</v>
      </c>
      <c r="F213" s="85">
        <f>IFERROR(VLOOKUP(D213,'1월'!D:F,3,0),)</f>
        <v>0</v>
      </c>
      <c r="G213" s="58">
        <v>2</v>
      </c>
      <c r="H213" s="58"/>
      <c r="I213" s="58"/>
      <c r="J213" s="58"/>
      <c r="K213" s="81"/>
      <c r="L213" s="42" t="str">
        <f>IF($F213&gt;=L$2,"-",IF(IFERROR(VLOOKUP($G213,$U:$U,1,1),0)&gt;=L$2,"o","-"))</f>
        <v>o</v>
      </c>
      <c r="M213" s="42" t="str">
        <f>IF($F213&gt;=M$2,"-",IF(IFERROR(VLOOKUP($G213,$U:$U,1,1),0)&gt;=M$2,"o","-"))</f>
        <v>-</v>
      </c>
      <c r="N213" s="42" t="str">
        <f>IF($F213&gt;=N$2,"-",IF(IFERROR(VLOOKUP($G213,$U:$U,1,1),0)&gt;=N$2,"o","-"))</f>
        <v>-</v>
      </c>
      <c r="O213" s="42" t="str">
        <f>IF($F213&gt;=O$2,"-",IF(IFERROR(VLOOKUP($G213,$U:$U,1,1),0)&gt;=O$2,"o","-"))</f>
        <v>-</v>
      </c>
      <c r="P213" s="42" t="str">
        <f>IF($F213&gt;=P$2,"-",IF(IFERROR(VLOOKUP($G213,$U:$U,1,1),0)&gt;=P$2,"o","-"))</f>
        <v>-</v>
      </c>
      <c r="Q213" s="42" t="str">
        <f>IF($F213&gt;=Q$2,"-",IF(IFERROR(VLOOKUP($G213,$U:$U,1,1),0)&gt;=Q$2,"o","-"))</f>
        <v>-</v>
      </c>
      <c r="R213" s="42" t="str">
        <f>IF($F213&gt;=R$2,"-",IF(IFERROR(VLOOKUP($G213,$U:$U,1,1),0)&gt;=R$2,"o","-"))</f>
        <v>-</v>
      </c>
      <c r="S213" s="12">
        <f>IF(L213="o",50000,0)+IF(M213="o",100000,0)+IF(N213="o",200000,0)+IF(O213="o",400000,0)+IF(P213="o",600000,0)+IF(Q213="o",1000000,0)+IF(R213="o",2000000,0)</f>
        <v>50000</v>
      </c>
    </row>
    <row r="214" spans="2:19">
      <c r="B214" s="9">
        <v>209</v>
      </c>
      <c r="C214" s="10" t="s">
        <v>604</v>
      </c>
      <c r="D214" s="10" t="s">
        <v>842</v>
      </c>
      <c r="E214" s="82">
        <v>41204333</v>
      </c>
      <c r="F214" s="85">
        <f>IFERROR(VLOOKUP(D214,'1월'!D:F,3,0),)</f>
        <v>0</v>
      </c>
      <c r="G214" s="58">
        <v>2</v>
      </c>
      <c r="H214" s="58"/>
      <c r="I214" s="58"/>
      <c r="J214" s="58"/>
      <c r="K214" s="81"/>
      <c r="L214" s="42" t="str">
        <f>IF($F214&gt;=L$2,"-",IF(IFERROR(VLOOKUP($G214,$U:$U,1,1),0)&gt;=L$2,"o","-"))</f>
        <v>o</v>
      </c>
      <c r="M214" s="42" t="str">
        <f>IF($F214&gt;=M$2,"-",IF(IFERROR(VLOOKUP($G214,$U:$U,1,1),0)&gt;=M$2,"o","-"))</f>
        <v>-</v>
      </c>
      <c r="N214" s="42" t="str">
        <f>IF($F214&gt;=N$2,"-",IF(IFERROR(VLOOKUP($G214,$U:$U,1,1),0)&gt;=N$2,"o","-"))</f>
        <v>-</v>
      </c>
      <c r="O214" s="42" t="str">
        <f>IF($F214&gt;=O$2,"-",IF(IFERROR(VLOOKUP($G214,$U:$U,1,1),0)&gt;=O$2,"o","-"))</f>
        <v>-</v>
      </c>
      <c r="P214" s="42" t="str">
        <f>IF($F214&gt;=P$2,"-",IF(IFERROR(VLOOKUP($G214,$U:$U,1,1),0)&gt;=P$2,"o","-"))</f>
        <v>-</v>
      </c>
      <c r="Q214" s="42" t="str">
        <f>IF($F214&gt;=Q$2,"-",IF(IFERROR(VLOOKUP($G214,$U:$U,1,1),0)&gt;=Q$2,"o","-"))</f>
        <v>-</v>
      </c>
      <c r="R214" s="42" t="str">
        <f>IF($F214&gt;=R$2,"-",IF(IFERROR(VLOOKUP($G214,$U:$U,1,1),0)&gt;=R$2,"o","-"))</f>
        <v>-</v>
      </c>
      <c r="S214" s="12">
        <f>IF(L214="o",50000,0)+IF(M214="o",100000,0)+IF(N214="o",200000,0)+IF(O214="o",400000,0)+IF(P214="o",600000,0)+IF(Q214="o",1000000,0)+IF(R214="o",2000000,0)</f>
        <v>50000</v>
      </c>
    </row>
    <row r="215" spans="2:19">
      <c r="B215" s="9">
        <v>210</v>
      </c>
      <c r="C215" s="10" t="s">
        <v>605</v>
      </c>
      <c r="D215" s="10" t="s">
        <v>843</v>
      </c>
      <c r="E215" s="82">
        <v>31502388</v>
      </c>
      <c r="F215" s="85">
        <f>IFERROR(VLOOKUP(D215,'1월'!D:F,3,0),)</f>
        <v>0</v>
      </c>
      <c r="G215" s="58">
        <v>2</v>
      </c>
      <c r="H215" s="58"/>
      <c r="I215" s="58"/>
      <c r="J215" s="58"/>
      <c r="K215" s="81"/>
      <c r="L215" s="42" t="str">
        <f>IF($F215&gt;=L$2,"-",IF(IFERROR(VLOOKUP($G215,$U:$U,1,1),0)&gt;=L$2,"o","-"))</f>
        <v>o</v>
      </c>
      <c r="M215" s="42" t="str">
        <f>IF($F215&gt;=M$2,"-",IF(IFERROR(VLOOKUP($G215,$U:$U,1,1),0)&gt;=M$2,"o","-"))</f>
        <v>-</v>
      </c>
      <c r="N215" s="42" t="str">
        <f>IF($F215&gt;=N$2,"-",IF(IFERROR(VLOOKUP($G215,$U:$U,1,1),0)&gt;=N$2,"o","-"))</f>
        <v>-</v>
      </c>
      <c r="O215" s="42" t="str">
        <f>IF($F215&gt;=O$2,"-",IF(IFERROR(VLOOKUP($G215,$U:$U,1,1),0)&gt;=O$2,"o","-"))</f>
        <v>-</v>
      </c>
      <c r="P215" s="42" t="str">
        <f>IF($F215&gt;=P$2,"-",IF(IFERROR(VLOOKUP($G215,$U:$U,1,1),0)&gt;=P$2,"o","-"))</f>
        <v>-</v>
      </c>
      <c r="Q215" s="42" t="str">
        <f>IF($F215&gt;=Q$2,"-",IF(IFERROR(VLOOKUP($G215,$U:$U,1,1),0)&gt;=Q$2,"o","-"))</f>
        <v>-</v>
      </c>
      <c r="R215" s="42" t="str">
        <f>IF($F215&gt;=R$2,"-",IF(IFERROR(VLOOKUP($G215,$U:$U,1,1),0)&gt;=R$2,"o","-"))</f>
        <v>-</v>
      </c>
      <c r="S215" s="12">
        <f>IF(L215="o",50000,0)+IF(M215="o",100000,0)+IF(N215="o",200000,0)+IF(O215="o",400000,0)+IF(P215="o",600000,0)+IF(Q215="o",1000000,0)+IF(R215="o",2000000,0)</f>
        <v>50000</v>
      </c>
    </row>
    <row r="216" spans="2:19">
      <c r="B216" s="9">
        <v>211</v>
      </c>
      <c r="C216" s="10" t="s">
        <v>606</v>
      </c>
      <c r="D216" s="10" t="s">
        <v>844</v>
      </c>
      <c r="E216" s="82">
        <v>32500749</v>
      </c>
      <c r="F216" s="85">
        <f>IFERROR(VLOOKUP(D216,'1월'!D:F,3,0),)</f>
        <v>0</v>
      </c>
      <c r="G216" s="58">
        <v>2</v>
      </c>
      <c r="H216" s="58"/>
      <c r="I216" s="58"/>
      <c r="J216" s="58"/>
      <c r="K216" s="81"/>
      <c r="L216" s="42" t="str">
        <f>IF($F216&gt;=L$2,"-",IF(IFERROR(VLOOKUP($G216,$U:$U,1,1),0)&gt;=L$2,"o","-"))</f>
        <v>o</v>
      </c>
      <c r="M216" s="42" t="str">
        <f>IF($F216&gt;=M$2,"-",IF(IFERROR(VLOOKUP($G216,$U:$U,1,1),0)&gt;=M$2,"o","-"))</f>
        <v>-</v>
      </c>
      <c r="N216" s="42" t="str">
        <f>IF($F216&gt;=N$2,"-",IF(IFERROR(VLOOKUP($G216,$U:$U,1,1),0)&gt;=N$2,"o","-"))</f>
        <v>-</v>
      </c>
      <c r="O216" s="42" t="str">
        <f>IF($F216&gt;=O$2,"-",IF(IFERROR(VLOOKUP($G216,$U:$U,1,1),0)&gt;=O$2,"o","-"))</f>
        <v>-</v>
      </c>
      <c r="P216" s="42" t="str">
        <f>IF($F216&gt;=P$2,"-",IF(IFERROR(VLOOKUP($G216,$U:$U,1,1),0)&gt;=P$2,"o","-"))</f>
        <v>-</v>
      </c>
      <c r="Q216" s="42" t="str">
        <f>IF($F216&gt;=Q$2,"-",IF(IFERROR(VLOOKUP($G216,$U:$U,1,1),0)&gt;=Q$2,"o","-"))</f>
        <v>-</v>
      </c>
      <c r="R216" s="42" t="str">
        <f>IF($F216&gt;=R$2,"-",IF(IFERROR(VLOOKUP($G216,$U:$U,1,1),0)&gt;=R$2,"o","-"))</f>
        <v>-</v>
      </c>
      <c r="S216" s="12">
        <f>IF(L216="o",50000,0)+IF(M216="o",100000,0)+IF(N216="o",200000,0)+IF(O216="o",400000,0)+IF(P216="o",600000,0)+IF(Q216="o",1000000,0)+IF(R216="o",2000000,0)</f>
        <v>50000</v>
      </c>
    </row>
    <row r="217" spans="2:19">
      <c r="B217" s="9">
        <v>212</v>
      </c>
      <c r="C217" s="10" t="s">
        <v>607</v>
      </c>
      <c r="D217" s="10" t="s">
        <v>845</v>
      </c>
      <c r="E217" s="82">
        <v>32300525</v>
      </c>
      <c r="F217" s="85">
        <f>IFERROR(VLOOKUP(D217,'1월'!D:F,3,0),)</f>
        <v>0</v>
      </c>
      <c r="G217" s="58">
        <v>2</v>
      </c>
      <c r="H217" s="58"/>
      <c r="I217" s="58"/>
      <c r="J217" s="58"/>
      <c r="K217" s="81"/>
      <c r="L217" s="42" t="str">
        <f>IF($F217&gt;=L$2,"-",IF(IFERROR(VLOOKUP($G217,$U:$U,1,1),0)&gt;=L$2,"o","-"))</f>
        <v>o</v>
      </c>
      <c r="M217" s="42" t="str">
        <f>IF($F217&gt;=M$2,"-",IF(IFERROR(VLOOKUP($G217,$U:$U,1,1),0)&gt;=M$2,"o","-"))</f>
        <v>-</v>
      </c>
      <c r="N217" s="42" t="str">
        <f>IF($F217&gt;=N$2,"-",IF(IFERROR(VLOOKUP($G217,$U:$U,1,1),0)&gt;=N$2,"o","-"))</f>
        <v>-</v>
      </c>
      <c r="O217" s="42" t="str">
        <f>IF($F217&gt;=O$2,"-",IF(IFERROR(VLOOKUP($G217,$U:$U,1,1),0)&gt;=O$2,"o","-"))</f>
        <v>-</v>
      </c>
      <c r="P217" s="42" t="str">
        <f>IF($F217&gt;=P$2,"-",IF(IFERROR(VLOOKUP($G217,$U:$U,1,1),0)&gt;=P$2,"o","-"))</f>
        <v>-</v>
      </c>
      <c r="Q217" s="42" t="str">
        <f>IF($F217&gt;=Q$2,"-",IF(IFERROR(VLOOKUP($G217,$U:$U,1,1),0)&gt;=Q$2,"o","-"))</f>
        <v>-</v>
      </c>
      <c r="R217" s="42" t="str">
        <f>IF($F217&gt;=R$2,"-",IF(IFERROR(VLOOKUP($G217,$U:$U,1,1),0)&gt;=R$2,"o","-"))</f>
        <v>-</v>
      </c>
      <c r="S217" s="12">
        <f>IF(L217="o",50000,0)+IF(M217="o",100000,0)+IF(N217="o",200000,0)+IF(O217="o",400000,0)+IF(P217="o",600000,0)+IF(Q217="o",1000000,0)+IF(R217="o",2000000,0)</f>
        <v>50000</v>
      </c>
    </row>
    <row r="218" spans="2:19">
      <c r="B218" s="9">
        <v>213</v>
      </c>
      <c r="C218" s="10" t="s">
        <v>608</v>
      </c>
      <c r="D218" s="10" t="s">
        <v>846</v>
      </c>
      <c r="E218" s="82">
        <v>31500803</v>
      </c>
      <c r="F218" s="85">
        <f>IFERROR(VLOOKUP(D218,'1월'!D:F,3,0),)</f>
        <v>0</v>
      </c>
      <c r="G218" s="58">
        <v>2</v>
      </c>
      <c r="H218" s="58"/>
      <c r="I218" s="58"/>
      <c r="J218" s="58"/>
      <c r="K218" s="81"/>
      <c r="L218" s="42" t="str">
        <f>IF($F218&gt;=L$2,"-",IF(IFERROR(VLOOKUP($G218,$U:$U,1,1),0)&gt;=L$2,"o","-"))</f>
        <v>o</v>
      </c>
      <c r="M218" s="42" t="str">
        <f>IF($F218&gt;=M$2,"-",IF(IFERROR(VLOOKUP($G218,$U:$U,1,1),0)&gt;=M$2,"o","-"))</f>
        <v>-</v>
      </c>
      <c r="N218" s="42" t="str">
        <f>IF($F218&gt;=N$2,"-",IF(IFERROR(VLOOKUP($G218,$U:$U,1,1),0)&gt;=N$2,"o","-"))</f>
        <v>-</v>
      </c>
      <c r="O218" s="42" t="str">
        <f>IF($F218&gt;=O$2,"-",IF(IFERROR(VLOOKUP($G218,$U:$U,1,1),0)&gt;=O$2,"o","-"))</f>
        <v>-</v>
      </c>
      <c r="P218" s="42" t="str">
        <f>IF($F218&gt;=P$2,"-",IF(IFERROR(VLOOKUP($G218,$U:$U,1,1),0)&gt;=P$2,"o","-"))</f>
        <v>-</v>
      </c>
      <c r="Q218" s="42" t="str">
        <f>IF($F218&gt;=Q$2,"-",IF(IFERROR(VLOOKUP($G218,$U:$U,1,1),0)&gt;=Q$2,"o","-"))</f>
        <v>-</v>
      </c>
      <c r="R218" s="42" t="str">
        <f>IF($F218&gt;=R$2,"-",IF(IFERROR(VLOOKUP($G218,$U:$U,1,1),0)&gt;=R$2,"o","-"))</f>
        <v>-</v>
      </c>
      <c r="S218" s="12">
        <f>IF(L218="o",50000,0)+IF(M218="o",100000,0)+IF(N218="o",200000,0)+IF(O218="o",400000,0)+IF(P218="o",600000,0)+IF(Q218="o",1000000,0)+IF(R218="o",2000000,0)</f>
        <v>50000</v>
      </c>
    </row>
    <row r="219" spans="2:19">
      <c r="B219" s="9">
        <v>214</v>
      </c>
      <c r="C219" s="10" t="s">
        <v>609</v>
      </c>
      <c r="D219" s="10" t="s">
        <v>847</v>
      </c>
      <c r="E219" s="82">
        <v>31503495</v>
      </c>
      <c r="F219" s="85">
        <f>IFERROR(VLOOKUP(D219,'1월'!D:F,3,0),)</f>
        <v>0</v>
      </c>
      <c r="G219" s="58">
        <v>2</v>
      </c>
      <c r="H219" s="58"/>
      <c r="I219" s="58"/>
      <c r="J219" s="58"/>
      <c r="K219" s="81"/>
      <c r="L219" s="42" t="str">
        <f>IF($F219&gt;=L$2,"-",IF(IFERROR(VLOOKUP($G219,$U:$U,1,1),0)&gt;=L$2,"o","-"))</f>
        <v>o</v>
      </c>
      <c r="M219" s="42" t="str">
        <f>IF($F219&gt;=M$2,"-",IF(IFERROR(VLOOKUP($G219,$U:$U,1,1),0)&gt;=M$2,"o","-"))</f>
        <v>-</v>
      </c>
      <c r="N219" s="42" t="str">
        <f>IF($F219&gt;=N$2,"-",IF(IFERROR(VLOOKUP($G219,$U:$U,1,1),0)&gt;=N$2,"o","-"))</f>
        <v>-</v>
      </c>
      <c r="O219" s="42" t="str">
        <f>IF($F219&gt;=O$2,"-",IF(IFERROR(VLOOKUP($G219,$U:$U,1,1),0)&gt;=O$2,"o","-"))</f>
        <v>-</v>
      </c>
      <c r="P219" s="42" t="str">
        <f>IF($F219&gt;=P$2,"-",IF(IFERROR(VLOOKUP($G219,$U:$U,1,1),0)&gt;=P$2,"o","-"))</f>
        <v>-</v>
      </c>
      <c r="Q219" s="42" t="str">
        <f>IF($F219&gt;=Q$2,"-",IF(IFERROR(VLOOKUP($G219,$U:$U,1,1),0)&gt;=Q$2,"o","-"))</f>
        <v>-</v>
      </c>
      <c r="R219" s="42" t="str">
        <f>IF($F219&gt;=R$2,"-",IF(IFERROR(VLOOKUP($G219,$U:$U,1,1),0)&gt;=R$2,"o","-"))</f>
        <v>-</v>
      </c>
      <c r="S219" s="12">
        <f>IF(L219="o",50000,0)+IF(M219="o",100000,0)+IF(N219="o",200000,0)+IF(O219="o",400000,0)+IF(P219="o",600000,0)+IF(Q219="o",1000000,0)+IF(R219="o",2000000,0)</f>
        <v>50000</v>
      </c>
    </row>
    <row r="220" spans="2:19">
      <c r="B220" s="9">
        <v>215</v>
      </c>
      <c r="C220" s="10" t="s">
        <v>610</v>
      </c>
      <c r="D220" s="10" t="s">
        <v>848</v>
      </c>
      <c r="E220" s="82">
        <v>32300426</v>
      </c>
      <c r="F220" s="85">
        <f>IFERROR(VLOOKUP(D220,'1월'!D:F,3,0),)</f>
        <v>0</v>
      </c>
      <c r="G220" s="58">
        <v>2</v>
      </c>
      <c r="H220" s="58"/>
      <c r="I220" s="58"/>
      <c r="J220" s="58"/>
      <c r="K220" s="81"/>
      <c r="L220" s="42" t="str">
        <f>IF($F220&gt;=L$2,"-",IF(IFERROR(VLOOKUP($G220,$U:$U,1,1),0)&gt;=L$2,"o","-"))</f>
        <v>o</v>
      </c>
      <c r="M220" s="42" t="str">
        <f>IF($F220&gt;=M$2,"-",IF(IFERROR(VLOOKUP($G220,$U:$U,1,1),0)&gt;=M$2,"o","-"))</f>
        <v>-</v>
      </c>
      <c r="N220" s="42" t="str">
        <f>IF($F220&gt;=N$2,"-",IF(IFERROR(VLOOKUP($G220,$U:$U,1,1),0)&gt;=N$2,"o","-"))</f>
        <v>-</v>
      </c>
      <c r="O220" s="42" t="str">
        <f>IF($F220&gt;=O$2,"-",IF(IFERROR(VLOOKUP($G220,$U:$U,1,1),0)&gt;=O$2,"o","-"))</f>
        <v>-</v>
      </c>
      <c r="P220" s="42" t="str">
        <f>IF($F220&gt;=P$2,"-",IF(IFERROR(VLOOKUP($G220,$U:$U,1,1),0)&gt;=P$2,"o","-"))</f>
        <v>-</v>
      </c>
      <c r="Q220" s="42" t="str">
        <f>IF($F220&gt;=Q$2,"-",IF(IFERROR(VLOOKUP($G220,$U:$U,1,1),0)&gt;=Q$2,"o","-"))</f>
        <v>-</v>
      </c>
      <c r="R220" s="42" t="str">
        <f>IF($F220&gt;=R$2,"-",IF(IFERROR(VLOOKUP($G220,$U:$U,1,1),0)&gt;=R$2,"o","-"))</f>
        <v>-</v>
      </c>
      <c r="S220" s="12">
        <f>IF(L220="o",50000,0)+IF(M220="o",100000,0)+IF(N220="o",200000,0)+IF(O220="o",400000,0)+IF(P220="o",600000,0)+IF(Q220="o",1000000,0)+IF(R220="o",2000000,0)</f>
        <v>50000</v>
      </c>
    </row>
    <row r="221" spans="2:19">
      <c r="B221" s="9">
        <v>216</v>
      </c>
      <c r="C221" s="10" t="s">
        <v>611</v>
      </c>
      <c r="D221" s="10" t="s">
        <v>849</v>
      </c>
      <c r="E221" s="82">
        <v>32300660</v>
      </c>
      <c r="F221" s="85">
        <f>IFERROR(VLOOKUP(D221,'1월'!D:F,3,0),)</f>
        <v>0</v>
      </c>
      <c r="G221" s="58">
        <v>2</v>
      </c>
      <c r="H221" s="58"/>
      <c r="I221" s="58"/>
      <c r="J221" s="58"/>
      <c r="K221" s="81"/>
      <c r="L221" s="42" t="str">
        <f>IF($F221&gt;=L$2,"-",IF(IFERROR(VLOOKUP($G221,$U:$U,1,1),0)&gt;=L$2,"o","-"))</f>
        <v>o</v>
      </c>
      <c r="M221" s="42" t="str">
        <f>IF($F221&gt;=M$2,"-",IF(IFERROR(VLOOKUP($G221,$U:$U,1,1),0)&gt;=M$2,"o","-"))</f>
        <v>-</v>
      </c>
      <c r="N221" s="42" t="str">
        <f>IF($F221&gt;=N$2,"-",IF(IFERROR(VLOOKUP($G221,$U:$U,1,1),0)&gt;=N$2,"o","-"))</f>
        <v>-</v>
      </c>
      <c r="O221" s="42" t="str">
        <f>IF($F221&gt;=O$2,"-",IF(IFERROR(VLOOKUP($G221,$U:$U,1,1),0)&gt;=O$2,"o","-"))</f>
        <v>-</v>
      </c>
      <c r="P221" s="42" t="str">
        <f>IF($F221&gt;=P$2,"-",IF(IFERROR(VLOOKUP($G221,$U:$U,1,1),0)&gt;=P$2,"o","-"))</f>
        <v>-</v>
      </c>
      <c r="Q221" s="42" t="str">
        <f>IF($F221&gt;=Q$2,"-",IF(IFERROR(VLOOKUP($G221,$U:$U,1,1),0)&gt;=Q$2,"o","-"))</f>
        <v>-</v>
      </c>
      <c r="R221" s="42" t="str">
        <f>IF($F221&gt;=R$2,"-",IF(IFERROR(VLOOKUP($G221,$U:$U,1,1),0)&gt;=R$2,"o","-"))</f>
        <v>-</v>
      </c>
      <c r="S221" s="12">
        <f>IF(L221="o",50000,0)+IF(M221="o",100000,0)+IF(N221="o",200000,0)+IF(O221="o",400000,0)+IF(P221="o",600000,0)+IF(Q221="o",1000000,0)+IF(R221="o",2000000,0)</f>
        <v>50000</v>
      </c>
    </row>
    <row r="222" spans="2:19">
      <c r="B222" s="9">
        <v>217</v>
      </c>
      <c r="C222" s="10" t="s">
        <v>612</v>
      </c>
      <c r="D222" s="10" t="s">
        <v>850</v>
      </c>
      <c r="E222" s="82">
        <v>32409327</v>
      </c>
      <c r="F222" s="85">
        <f>IFERROR(VLOOKUP(D222,'1월'!D:F,3,0),)</f>
        <v>0</v>
      </c>
      <c r="G222" s="58">
        <v>2</v>
      </c>
      <c r="H222" s="58"/>
      <c r="I222" s="58"/>
      <c r="J222" s="58"/>
      <c r="K222" s="81"/>
      <c r="L222" s="42" t="str">
        <f>IF($F222&gt;=L$2,"-",IF(IFERROR(VLOOKUP($G222,$U:$U,1,1),0)&gt;=L$2,"o","-"))</f>
        <v>o</v>
      </c>
      <c r="M222" s="42" t="str">
        <f>IF($F222&gt;=M$2,"-",IF(IFERROR(VLOOKUP($G222,$U:$U,1,1),0)&gt;=M$2,"o","-"))</f>
        <v>-</v>
      </c>
      <c r="N222" s="42" t="str">
        <f>IF($F222&gt;=N$2,"-",IF(IFERROR(VLOOKUP($G222,$U:$U,1,1),0)&gt;=N$2,"o","-"))</f>
        <v>-</v>
      </c>
      <c r="O222" s="42" t="str">
        <f>IF($F222&gt;=O$2,"-",IF(IFERROR(VLOOKUP($G222,$U:$U,1,1),0)&gt;=O$2,"o","-"))</f>
        <v>-</v>
      </c>
      <c r="P222" s="42" t="str">
        <f>IF($F222&gt;=P$2,"-",IF(IFERROR(VLOOKUP($G222,$U:$U,1,1),0)&gt;=P$2,"o","-"))</f>
        <v>-</v>
      </c>
      <c r="Q222" s="42" t="str">
        <f>IF($F222&gt;=Q$2,"-",IF(IFERROR(VLOOKUP($G222,$U:$U,1,1),0)&gt;=Q$2,"o","-"))</f>
        <v>-</v>
      </c>
      <c r="R222" s="42" t="str">
        <f>IF($F222&gt;=R$2,"-",IF(IFERROR(VLOOKUP($G222,$U:$U,1,1),0)&gt;=R$2,"o","-"))</f>
        <v>-</v>
      </c>
      <c r="S222" s="12">
        <f>IF(L222="o",50000,0)+IF(M222="o",100000,0)+IF(N222="o",200000,0)+IF(O222="o",400000,0)+IF(P222="o",600000,0)+IF(Q222="o",1000000,0)+IF(R222="o",2000000,0)</f>
        <v>50000</v>
      </c>
    </row>
    <row r="223" spans="2:19">
      <c r="B223" s="9">
        <v>218</v>
      </c>
      <c r="C223" s="10" t="s">
        <v>613</v>
      </c>
      <c r="D223" s="10" t="s">
        <v>851</v>
      </c>
      <c r="E223" s="82">
        <v>41300462</v>
      </c>
      <c r="F223" s="85">
        <f>IFERROR(VLOOKUP(D223,'1월'!D:F,3,0),)</f>
        <v>0</v>
      </c>
      <c r="G223" s="58">
        <v>2</v>
      </c>
      <c r="H223" s="58"/>
      <c r="I223" s="58"/>
      <c r="J223" s="58"/>
      <c r="K223" s="81"/>
      <c r="L223" s="42" t="str">
        <f>IF($F223&gt;=L$2,"-",IF(IFERROR(VLOOKUP($G223,$U:$U,1,1),0)&gt;=L$2,"o","-"))</f>
        <v>o</v>
      </c>
      <c r="M223" s="42" t="str">
        <f>IF($F223&gt;=M$2,"-",IF(IFERROR(VLOOKUP($G223,$U:$U,1,1),0)&gt;=M$2,"o","-"))</f>
        <v>-</v>
      </c>
      <c r="N223" s="42" t="str">
        <f>IF($F223&gt;=N$2,"-",IF(IFERROR(VLOOKUP($G223,$U:$U,1,1),0)&gt;=N$2,"o","-"))</f>
        <v>-</v>
      </c>
      <c r="O223" s="42" t="str">
        <f>IF($F223&gt;=O$2,"-",IF(IFERROR(VLOOKUP($G223,$U:$U,1,1),0)&gt;=O$2,"o","-"))</f>
        <v>-</v>
      </c>
      <c r="P223" s="42" t="str">
        <f>IF($F223&gt;=P$2,"-",IF(IFERROR(VLOOKUP($G223,$U:$U,1,1),0)&gt;=P$2,"o","-"))</f>
        <v>-</v>
      </c>
      <c r="Q223" s="42" t="str">
        <f>IF($F223&gt;=Q$2,"-",IF(IFERROR(VLOOKUP($G223,$U:$U,1,1),0)&gt;=Q$2,"o","-"))</f>
        <v>-</v>
      </c>
      <c r="R223" s="42" t="str">
        <f>IF($F223&gt;=R$2,"-",IF(IFERROR(VLOOKUP($G223,$U:$U,1,1),0)&gt;=R$2,"o","-"))</f>
        <v>-</v>
      </c>
      <c r="S223" s="12">
        <f>IF(L223="o",50000,0)+IF(M223="o",100000,0)+IF(N223="o",200000,0)+IF(O223="o",400000,0)+IF(P223="o",600000,0)+IF(Q223="o",1000000,0)+IF(R223="o",2000000,0)</f>
        <v>50000</v>
      </c>
    </row>
    <row r="224" spans="2:19">
      <c r="B224" s="9">
        <v>219</v>
      </c>
      <c r="C224" s="10" t="s">
        <v>614</v>
      </c>
      <c r="D224" s="10" t="s">
        <v>852</v>
      </c>
      <c r="E224" s="82">
        <v>32408625</v>
      </c>
      <c r="F224" s="85">
        <f>IFERROR(VLOOKUP(D224,'1월'!D:F,3,0),)</f>
        <v>0</v>
      </c>
      <c r="G224" s="58">
        <v>2</v>
      </c>
      <c r="H224" s="58"/>
      <c r="I224" s="58"/>
      <c r="J224" s="58"/>
      <c r="K224" s="81"/>
      <c r="L224" s="42" t="str">
        <f>IF($F224&gt;=L$2,"-",IF(IFERROR(VLOOKUP($G224,$U:$U,1,1),0)&gt;=L$2,"o","-"))</f>
        <v>o</v>
      </c>
      <c r="M224" s="42" t="str">
        <f>IF($F224&gt;=M$2,"-",IF(IFERROR(VLOOKUP($G224,$U:$U,1,1),0)&gt;=M$2,"o","-"))</f>
        <v>-</v>
      </c>
      <c r="N224" s="42" t="str">
        <f>IF($F224&gt;=N$2,"-",IF(IFERROR(VLOOKUP($G224,$U:$U,1,1),0)&gt;=N$2,"o","-"))</f>
        <v>-</v>
      </c>
      <c r="O224" s="42" t="str">
        <f>IF($F224&gt;=O$2,"-",IF(IFERROR(VLOOKUP($G224,$U:$U,1,1),0)&gt;=O$2,"o","-"))</f>
        <v>-</v>
      </c>
      <c r="P224" s="42" t="str">
        <f>IF($F224&gt;=P$2,"-",IF(IFERROR(VLOOKUP($G224,$U:$U,1,1),0)&gt;=P$2,"o","-"))</f>
        <v>-</v>
      </c>
      <c r="Q224" s="42" t="str">
        <f>IF($F224&gt;=Q$2,"-",IF(IFERROR(VLOOKUP($G224,$U:$U,1,1),0)&gt;=Q$2,"o","-"))</f>
        <v>-</v>
      </c>
      <c r="R224" s="42" t="str">
        <f>IF($F224&gt;=R$2,"-",IF(IFERROR(VLOOKUP($G224,$U:$U,1,1),0)&gt;=R$2,"o","-"))</f>
        <v>-</v>
      </c>
      <c r="S224" s="12">
        <f>IF(L224="o",50000,0)+IF(M224="o",100000,0)+IF(N224="o",200000,0)+IF(O224="o",400000,0)+IF(P224="o",600000,0)+IF(Q224="o",1000000,0)+IF(R224="o",2000000,0)</f>
        <v>50000</v>
      </c>
    </row>
    <row r="225" spans="2:19">
      <c r="B225" s="9">
        <v>220</v>
      </c>
      <c r="C225" s="10" t="s">
        <v>615</v>
      </c>
      <c r="D225" s="10" t="s">
        <v>853</v>
      </c>
      <c r="E225" s="82">
        <v>31500533</v>
      </c>
      <c r="F225" s="85">
        <f>IFERROR(VLOOKUP(D225,'1월'!D:F,3,0),)</f>
        <v>0</v>
      </c>
      <c r="G225" s="58">
        <v>2</v>
      </c>
      <c r="H225" s="58"/>
      <c r="I225" s="58"/>
      <c r="J225" s="58"/>
      <c r="K225" s="81"/>
      <c r="L225" s="42" t="str">
        <f>IF($F225&gt;=L$2,"-",IF(IFERROR(VLOOKUP($G225,$U:$U,1,1),0)&gt;=L$2,"o","-"))</f>
        <v>o</v>
      </c>
      <c r="M225" s="42" t="str">
        <f>IF($F225&gt;=M$2,"-",IF(IFERROR(VLOOKUP($G225,$U:$U,1,1),0)&gt;=M$2,"o","-"))</f>
        <v>-</v>
      </c>
      <c r="N225" s="42" t="str">
        <f>IF($F225&gt;=N$2,"-",IF(IFERROR(VLOOKUP($G225,$U:$U,1,1),0)&gt;=N$2,"o","-"))</f>
        <v>-</v>
      </c>
      <c r="O225" s="42" t="str">
        <f>IF($F225&gt;=O$2,"-",IF(IFERROR(VLOOKUP($G225,$U:$U,1,1),0)&gt;=O$2,"o","-"))</f>
        <v>-</v>
      </c>
      <c r="P225" s="42" t="str">
        <f>IF($F225&gt;=P$2,"-",IF(IFERROR(VLOOKUP($G225,$U:$U,1,1),0)&gt;=P$2,"o","-"))</f>
        <v>-</v>
      </c>
      <c r="Q225" s="42" t="str">
        <f>IF($F225&gt;=Q$2,"-",IF(IFERROR(VLOOKUP($G225,$U:$U,1,1),0)&gt;=Q$2,"o","-"))</f>
        <v>-</v>
      </c>
      <c r="R225" s="42" t="str">
        <f>IF($F225&gt;=R$2,"-",IF(IFERROR(VLOOKUP($G225,$U:$U,1,1),0)&gt;=R$2,"o","-"))</f>
        <v>-</v>
      </c>
      <c r="S225" s="12">
        <f>IF(L225="o",50000,0)+IF(M225="o",100000,0)+IF(N225="o",200000,0)+IF(O225="o",400000,0)+IF(P225="o",600000,0)+IF(Q225="o",1000000,0)+IF(R225="o",2000000,0)</f>
        <v>50000</v>
      </c>
    </row>
    <row r="226" spans="2:19">
      <c r="B226" s="9">
        <v>221</v>
      </c>
      <c r="C226" s="10" t="s">
        <v>616</v>
      </c>
      <c r="D226" s="10" t="s">
        <v>854</v>
      </c>
      <c r="E226" s="82">
        <v>32201976</v>
      </c>
      <c r="F226" s="85">
        <f>IFERROR(VLOOKUP(D226,'1월'!D:F,3,0),)</f>
        <v>0</v>
      </c>
      <c r="G226" s="58">
        <v>2</v>
      </c>
      <c r="H226" s="58"/>
      <c r="I226" s="58"/>
      <c r="J226" s="58"/>
      <c r="K226" s="81"/>
      <c r="L226" s="42" t="str">
        <f>IF($F226&gt;=L$2,"-",IF(IFERROR(VLOOKUP($G226,$U:$U,1,1),0)&gt;=L$2,"o","-"))</f>
        <v>o</v>
      </c>
      <c r="M226" s="42" t="str">
        <f>IF($F226&gt;=M$2,"-",IF(IFERROR(VLOOKUP($G226,$U:$U,1,1),0)&gt;=M$2,"o","-"))</f>
        <v>-</v>
      </c>
      <c r="N226" s="42" t="str">
        <f>IF($F226&gt;=N$2,"-",IF(IFERROR(VLOOKUP($G226,$U:$U,1,1),0)&gt;=N$2,"o","-"))</f>
        <v>-</v>
      </c>
      <c r="O226" s="42" t="str">
        <f>IF($F226&gt;=O$2,"-",IF(IFERROR(VLOOKUP($G226,$U:$U,1,1),0)&gt;=O$2,"o","-"))</f>
        <v>-</v>
      </c>
      <c r="P226" s="42" t="str">
        <f>IF($F226&gt;=P$2,"-",IF(IFERROR(VLOOKUP($G226,$U:$U,1,1),0)&gt;=P$2,"o","-"))</f>
        <v>-</v>
      </c>
      <c r="Q226" s="42" t="str">
        <f>IF($F226&gt;=Q$2,"-",IF(IFERROR(VLOOKUP($G226,$U:$U,1,1),0)&gt;=Q$2,"o","-"))</f>
        <v>-</v>
      </c>
      <c r="R226" s="42" t="str">
        <f>IF($F226&gt;=R$2,"-",IF(IFERROR(VLOOKUP($G226,$U:$U,1,1),0)&gt;=R$2,"o","-"))</f>
        <v>-</v>
      </c>
      <c r="S226" s="12">
        <f>IF(L226="o",50000,0)+IF(M226="o",100000,0)+IF(N226="o",200000,0)+IF(O226="o",400000,0)+IF(P226="o",600000,0)+IF(Q226="o",1000000,0)+IF(R226="o",2000000,0)</f>
        <v>50000</v>
      </c>
    </row>
    <row r="227" spans="2:19">
      <c r="B227" s="9">
        <v>222</v>
      </c>
      <c r="C227" s="10" t="s">
        <v>617</v>
      </c>
      <c r="D227" s="10" t="s">
        <v>855</v>
      </c>
      <c r="E227" s="82">
        <v>31600569</v>
      </c>
      <c r="F227" s="85">
        <f>IFERROR(VLOOKUP(D227,'1월'!D:F,3,0),)</f>
        <v>0</v>
      </c>
      <c r="G227" s="58">
        <v>2</v>
      </c>
      <c r="H227" s="58"/>
      <c r="I227" s="58"/>
      <c r="J227" s="58"/>
      <c r="K227" s="81"/>
      <c r="L227" s="42" t="str">
        <f>IF($F227&gt;=L$2,"-",IF(IFERROR(VLOOKUP($G227,$U:$U,1,1),0)&gt;=L$2,"o","-"))</f>
        <v>o</v>
      </c>
      <c r="M227" s="42" t="str">
        <f>IF($F227&gt;=M$2,"-",IF(IFERROR(VLOOKUP($G227,$U:$U,1,1),0)&gt;=M$2,"o","-"))</f>
        <v>-</v>
      </c>
      <c r="N227" s="42" t="str">
        <f>IF($F227&gt;=N$2,"-",IF(IFERROR(VLOOKUP($G227,$U:$U,1,1),0)&gt;=N$2,"o","-"))</f>
        <v>-</v>
      </c>
      <c r="O227" s="42" t="str">
        <f>IF($F227&gt;=O$2,"-",IF(IFERROR(VLOOKUP($G227,$U:$U,1,1),0)&gt;=O$2,"o","-"))</f>
        <v>-</v>
      </c>
      <c r="P227" s="42" t="str">
        <f>IF($F227&gt;=P$2,"-",IF(IFERROR(VLOOKUP($G227,$U:$U,1,1),0)&gt;=P$2,"o","-"))</f>
        <v>-</v>
      </c>
      <c r="Q227" s="42" t="str">
        <f>IF($F227&gt;=Q$2,"-",IF(IFERROR(VLOOKUP($G227,$U:$U,1,1),0)&gt;=Q$2,"o","-"))</f>
        <v>-</v>
      </c>
      <c r="R227" s="42" t="str">
        <f>IF($F227&gt;=R$2,"-",IF(IFERROR(VLOOKUP($G227,$U:$U,1,1),0)&gt;=R$2,"o","-"))</f>
        <v>-</v>
      </c>
      <c r="S227" s="12">
        <f>IF(L227="o",50000,0)+IF(M227="o",100000,0)+IF(N227="o",200000,0)+IF(O227="o",400000,0)+IF(P227="o",600000,0)+IF(Q227="o",1000000,0)+IF(R227="o",2000000,0)</f>
        <v>50000</v>
      </c>
    </row>
    <row r="228" spans="2:19">
      <c r="B228" s="9">
        <v>223</v>
      </c>
      <c r="C228" s="10" t="s">
        <v>618</v>
      </c>
      <c r="D228" s="10" t="s">
        <v>856</v>
      </c>
      <c r="E228" s="82">
        <v>41500262</v>
      </c>
      <c r="F228" s="85">
        <f>IFERROR(VLOOKUP(D228,'1월'!D:F,3,0),)</f>
        <v>0</v>
      </c>
      <c r="G228" s="58">
        <v>2</v>
      </c>
      <c r="H228" s="58"/>
      <c r="I228" s="58"/>
      <c r="J228" s="58"/>
      <c r="K228" s="81"/>
      <c r="L228" s="42" t="str">
        <f>IF($F228&gt;=L$2,"-",IF(IFERROR(VLOOKUP($G228,$U:$U,1,1),0)&gt;=L$2,"o","-"))</f>
        <v>o</v>
      </c>
      <c r="M228" s="42" t="str">
        <f>IF($F228&gt;=M$2,"-",IF(IFERROR(VLOOKUP($G228,$U:$U,1,1),0)&gt;=M$2,"o","-"))</f>
        <v>-</v>
      </c>
      <c r="N228" s="42" t="str">
        <f>IF($F228&gt;=N$2,"-",IF(IFERROR(VLOOKUP($G228,$U:$U,1,1),0)&gt;=N$2,"o","-"))</f>
        <v>-</v>
      </c>
      <c r="O228" s="42" t="str">
        <f>IF($F228&gt;=O$2,"-",IF(IFERROR(VLOOKUP($G228,$U:$U,1,1),0)&gt;=O$2,"o","-"))</f>
        <v>-</v>
      </c>
      <c r="P228" s="42" t="str">
        <f>IF($F228&gt;=P$2,"-",IF(IFERROR(VLOOKUP($G228,$U:$U,1,1),0)&gt;=P$2,"o","-"))</f>
        <v>-</v>
      </c>
      <c r="Q228" s="42" t="str">
        <f>IF($F228&gt;=Q$2,"-",IF(IFERROR(VLOOKUP($G228,$U:$U,1,1),0)&gt;=Q$2,"o","-"))</f>
        <v>-</v>
      </c>
      <c r="R228" s="42" t="str">
        <f>IF($F228&gt;=R$2,"-",IF(IFERROR(VLOOKUP($G228,$U:$U,1,1),0)&gt;=R$2,"o","-"))</f>
        <v>-</v>
      </c>
      <c r="S228" s="12">
        <f>IF(L228="o",50000,0)+IF(M228="o",100000,0)+IF(N228="o",200000,0)+IF(O228="o",400000,0)+IF(P228="o",600000,0)+IF(Q228="o",1000000,0)+IF(R228="o",2000000,0)</f>
        <v>50000</v>
      </c>
    </row>
    <row r="229" spans="2:19">
      <c r="B229" s="9">
        <v>224</v>
      </c>
      <c r="C229" s="10" t="s">
        <v>619</v>
      </c>
      <c r="D229" s="10" t="s">
        <v>857</v>
      </c>
      <c r="E229" s="82">
        <v>31808406</v>
      </c>
      <c r="F229" s="85">
        <f>IFERROR(VLOOKUP(D229,'1월'!D:F,3,0),)</f>
        <v>0</v>
      </c>
      <c r="G229" s="58">
        <v>2</v>
      </c>
      <c r="H229" s="58"/>
      <c r="I229" s="58"/>
      <c r="J229" s="58"/>
      <c r="K229" s="81"/>
      <c r="L229" s="42" t="str">
        <f>IF($F229&gt;=L$2,"-",IF(IFERROR(VLOOKUP($G229,$U:$U,1,1),0)&gt;=L$2,"o","-"))</f>
        <v>o</v>
      </c>
      <c r="M229" s="42" t="str">
        <f>IF($F229&gt;=M$2,"-",IF(IFERROR(VLOOKUP($G229,$U:$U,1,1),0)&gt;=M$2,"o","-"))</f>
        <v>-</v>
      </c>
      <c r="N229" s="42" t="str">
        <f>IF($F229&gt;=N$2,"-",IF(IFERROR(VLOOKUP($G229,$U:$U,1,1),0)&gt;=N$2,"o","-"))</f>
        <v>-</v>
      </c>
      <c r="O229" s="42" t="str">
        <f>IF($F229&gt;=O$2,"-",IF(IFERROR(VLOOKUP($G229,$U:$U,1,1),0)&gt;=O$2,"o","-"))</f>
        <v>-</v>
      </c>
      <c r="P229" s="42" t="str">
        <f>IF($F229&gt;=P$2,"-",IF(IFERROR(VLOOKUP($G229,$U:$U,1,1),0)&gt;=P$2,"o","-"))</f>
        <v>-</v>
      </c>
      <c r="Q229" s="42" t="str">
        <f>IF($F229&gt;=Q$2,"-",IF(IFERROR(VLOOKUP($G229,$U:$U,1,1),0)&gt;=Q$2,"o","-"))</f>
        <v>-</v>
      </c>
      <c r="R229" s="42" t="str">
        <f>IF($F229&gt;=R$2,"-",IF(IFERROR(VLOOKUP($G229,$U:$U,1,1),0)&gt;=R$2,"o","-"))</f>
        <v>-</v>
      </c>
      <c r="S229" s="12">
        <f>IF(L229="o",50000,0)+IF(M229="o",100000,0)+IF(N229="o",200000,0)+IF(O229="o",400000,0)+IF(P229="o",600000,0)+IF(Q229="o",1000000,0)+IF(R229="o",2000000,0)</f>
        <v>50000</v>
      </c>
    </row>
    <row r="230" spans="2:19">
      <c r="B230" s="9">
        <v>225</v>
      </c>
      <c r="C230" s="10" t="s">
        <v>620</v>
      </c>
      <c r="D230" s="10" t="s">
        <v>858</v>
      </c>
      <c r="E230" s="82">
        <v>41605491</v>
      </c>
      <c r="F230" s="85">
        <f>IFERROR(VLOOKUP(D230,'1월'!D:F,3,0),)</f>
        <v>0</v>
      </c>
      <c r="G230" s="58">
        <v>2</v>
      </c>
      <c r="H230" s="58"/>
      <c r="I230" s="58"/>
      <c r="J230" s="58"/>
      <c r="K230" s="81"/>
      <c r="L230" s="42" t="str">
        <f>IF($F230&gt;=L$2,"-",IF(IFERROR(VLOOKUP($G230,$U:$U,1,1),0)&gt;=L$2,"o","-"))</f>
        <v>o</v>
      </c>
      <c r="M230" s="42" t="str">
        <f>IF($F230&gt;=M$2,"-",IF(IFERROR(VLOOKUP($G230,$U:$U,1,1),0)&gt;=M$2,"o","-"))</f>
        <v>-</v>
      </c>
      <c r="N230" s="42" t="str">
        <f>IF($F230&gt;=N$2,"-",IF(IFERROR(VLOOKUP($G230,$U:$U,1,1),0)&gt;=N$2,"o","-"))</f>
        <v>-</v>
      </c>
      <c r="O230" s="42" t="str">
        <f>IF($F230&gt;=O$2,"-",IF(IFERROR(VLOOKUP($G230,$U:$U,1,1),0)&gt;=O$2,"o","-"))</f>
        <v>-</v>
      </c>
      <c r="P230" s="42" t="str">
        <f>IF($F230&gt;=P$2,"-",IF(IFERROR(VLOOKUP($G230,$U:$U,1,1),0)&gt;=P$2,"o","-"))</f>
        <v>-</v>
      </c>
      <c r="Q230" s="42" t="str">
        <f>IF($F230&gt;=Q$2,"-",IF(IFERROR(VLOOKUP($G230,$U:$U,1,1),0)&gt;=Q$2,"o","-"))</f>
        <v>-</v>
      </c>
      <c r="R230" s="42" t="str">
        <f>IF($F230&gt;=R$2,"-",IF(IFERROR(VLOOKUP($G230,$U:$U,1,1),0)&gt;=R$2,"o","-"))</f>
        <v>-</v>
      </c>
      <c r="S230" s="12">
        <f>IF(L230="o",50000,0)+IF(M230="o",100000,0)+IF(N230="o",200000,0)+IF(O230="o",400000,0)+IF(P230="o",600000,0)+IF(Q230="o",1000000,0)+IF(R230="o",2000000,0)</f>
        <v>50000</v>
      </c>
    </row>
    <row r="231" spans="2:19">
      <c r="B231" s="9">
        <v>226</v>
      </c>
      <c r="C231" s="10" t="s">
        <v>621</v>
      </c>
      <c r="D231" s="10" t="s">
        <v>859</v>
      </c>
      <c r="E231" s="82">
        <v>32100509</v>
      </c>
      <c r="F231" s="85">
        <f>IFERROR(VLOOKUP(D231,'1월'!D:F,3,0),)</f>
        <v>0</v>
      </c>
      <c r="G231" s="58">
        <v>2</v>
      </c>
      <c r="H231" s="58"/>
      <c r="I231" s="58"/>
      <c r="J231" s="58"/>
      <c r="K231" s="81"/>
      <c r="L231" s="42" t="str">
        <f>IF($F231&gt;=L$2,"-",IF(IFERROR(VLOOKUP($G231,$U:$U,1,1),0)&gt;=L$2,"o","-"))</f>
        <v>o</v>
      </c>
      <c r="M231" s="42" t="str">
        <f>IF($F231&gt;=M$2,"-",IF(IFERROR(VLOOKUP($G231,$U:$U,1,1),0)&gt;=M$2,"o","-"))</f>
        <v>-</v>
      </c>
      <c r="N231" s="42" t="str">
        <f>IF($F231&gt;=N$2,"-",IF(IFERROR(VLOOKUP($G231,$U:$U,1,1),0)&gt;=N$2,"o","-"))</f>
        <v>-</v>
      </c>
      <c r="O231" s="42" t="str">
        <f>IF($F231&gt;=O$2,"-",IF(IFERROR(VLOOKUP($G231,$U:$U,1,1),0)&gt;=O$2,"o","-"))</f>
        <v>-</v>
      </c>
      <c r="P231" s="42" t="str">
        <f>IF($F231&gt;=P$2,"-",IF(IFERROR(VLOOKUP($G231,$U:$U,1,1),0)&gt;=P$2,"o","-"))</f>
        <v>-</v>
      </c>
      <c r="Q231" s="42" t="str">
        <f>IF($F231&gt;=Q$2,"-",IF(IFERROR(VLOOKUP($G231,$U:$U,1,1),0)&gt;=Q$2,"o","-"))</f>
        <v>-</v>
      </c>
      <c r="R231" s="42" t="str">
        <f>IF($F231&gt;=R$2,"-",IF(IFERROR(VLOOKUP($G231,$U:$U,1,1),0)&gt;=R$2,"o","-"))</f>
        <v>-</v>
      </c>
      <c r="S231" s="12">
        <f>IF(L231="o",50000,0)+IF(M231="o",100000,0)+IF(N231="o",200000,0)+IF(O231="o",400000,0)+IF(P231="o",600000,0)+IF(Q231="o",1000000,0)+IF(R231="o",2000000,0)</f>
        <v>50000</v>
      </c>
    </row>
    <row r="232" spans="2:19">
      <c r="B232" s="9">
        <v>227</v>
      </c>
      <c r="C232" s="10" t="s">
        <v>622</v>
      </c>
      <c r="D232" s="10" t="s">
        <v>860</v>
      </c>
      <c r="E232" s="82">
        <v>32406221</v>
      </c>
      <c r="F232" s="85">
        <f>IFERROR(VLOOKUP(D232,'1월'!D:F,3,0),)</f>
        <v>0</v>
      </c>
      <c r="G232" s="58">
        <v>2</v>
      </c>
      <c r="H232" s="58"/>
      <c r="I232" s="58"/>
      <c r="J232" s="58"/>
      <c r="K232" s="81"/>
      <c r="L232" s="42" t="str">
        <f>IF($F232&gt;=L$2,"-",IF(IFERROR(VLOOKUP($G232,$U:$U,1,1),0)&gt;=L$2,"o","-"))</f>
        <v>o</v>
      </c>
      <c r="M232" s="42" t="str">
        <f>IF($F232&gt;=M$2,"-",IF(IFERROR(VLOOKUP($G232,$U:$U,1,1),0)&gt;=M$2,"o","-"))</f>
        <v>-</v>
      </c>
      <c r="N232" s="42" t="str">
        <f>IF($F232&gt;=N$2,"-",IF(IFERROR(VLOOKUP($G232,$U:$U,1,1),0)&gt;=N$2,"o","-"))</f>
        <v>-</v>
      </c>
      <c r="O232" s="42" t="str">
        <f>IF($F232&gt;=O$2,"-",IF(IFERROR(VLOOKUP($G232,$U:$U,1,1),0)&gt;=O$2,"o","-"))</f>
        <v>-</v>
      </c>
      <c r="P232" s="42" t="str">
        <f>IF($F232&gt;=P$2,"-",IF(IFERROR(VLOOKUP($G232,$U:$U,1,1),0)&gt;=P$2,"o","-"))</f>
        <v>-</v>
      </c>
      <c r="Q232" s="42" t="str">
        <f>IF($F232&gt;=Q$2,"-",IF(IFERROR(VLOOKUP($G232,$U:$U,1,1),0)&gt;=Q$2,"o","-"))</f>
        <v>-</v>
      </c>
      <c r="R232" s="42" t="str">
        <f>IF($F232&gt;=R$2,"-",IF(IFERROR(VLOOKUP($G232,$U:$U,1,1),0)&gt;=R$2,"o","-"))</f>
        <v>-</v>
      </c>
      <c r="S232" s="12">
        <f>IF(L232="o",50000,0)+IF(M232="o",100000,0)+IF(N232="o",200000,0)+IF(O232="o",400000,0)+IF(P232="o",600000,0)+IF(Q232="o",1000000,0)+IF(R232="o",2000000,0)</f>
        <v>50000</v>
      </c>
    </row>
    <row r="233" spans="2:19">
      <c r="B233" s="9">
        <v>228</v>
      </c>
      <c r="C233" s="10" t="s">
        <v>623</v>
      </c>
      <c r="D233" s="10" t="s">
        <v>861</v>
      </c>
      <c r="E233" s="82">
        <v>31600460</v>
      </c>
      <c r="F233" s="85">
        <f>IFERROR(VLOOKUP(D233,'1월'!D:F,3,0),)</f>
        <v>0</v>
      </c>
      <c r="G233" s="58">
        <v>2</v>
      </c>
      <c r="H233" s="58"/>
      <c r="I233" s="58"/>
      <c r="J233" s="58"/>
      <c r="K233" s="81"/>
      <c r="L233" s="42" t="str">
        <f>IF($F233&gt;=L$2,"-",IF(IFERROR(VLOOKUP($G233,$U:$U,1,1),0)&gt;=L$2,"o","-"))</f>
        <v>o</v>
      </c>
      <c r="M233" s="42" t="str">
        <f>IF($F233&gt;=M$2,"-",IF(IFERROR(VLOOKUP($G233,$U:$U,1,1),0)&gt;=M$2,"o","-"))</f>
        <v>-</v>
      </c>
      <c r="N233" s="42" t="str">
        <f>IF($F233&gt;=N$2,"-",IF(IFERROR(VLOOKUP($G233,$U:$U,1,1),0)&gt;=N$2,"o","-"))</f>
        <v>-</v>
      </c>
      <c r="O233" s="42" t="str">
        <f>IF($F233&gt;=O$2,"-",IF(IFERROR(VLOOKUP($G233,$U:$U,1,1),0)&gt;=O$2,"o","-"))</f>
        <v>-</v>
      </c>
      <c r="P233" s="42" t="str">
        <f>IF($F233&gt;=P$2,"-",IF(IFERROR(VLOOKUP($G233,$U:$U,1,1),0)&gt;=P$2,"o","-"))</f>
        <v>-</v>
      </c>
      <c r="Q233" s="42" t="str">
        <f>IF($F233&gt;=Q$2,"-",IF(IFERROR(VLOOKUP($G233,$U:$U,1,1),0)&gt;=Q$2,"o","-"))</f>
        <v>-</v>
      </c>
      <c r="R233" s="42" t="str">
        <f>IF($F233&gt;=R$2,"-",IF(IFERROR(VLOOKUP($G233,$U:$U,1,1),0)&gt;=R$2,"o","-"))</f>
        <v>-</v>
      </c>
      <c r="S233" s="12">
        <f>IF(L233="o",50000,0)+IF(M233="o",100000,0)+IF(N233="o",200000,0)+IF(O233="o",400000,0)+IF(P233="o",600000,0)+IF(Q233="o",1000000,0)+IF(R233="o",2000000,0)</f>
        <v>50000</v>
      </c>
    </row>
    <row r="234" spans="2:19">
      <c r="B234" s="9">
        <v>229</v>
      </c>
      <c r="C234" s="10" t="s">
        <v>624</v>
      </c>
      <c r="D234" s="10" t="s">
        <v>862</v>
      </c>
      <c r="E234" s="82">
        <v>32407121</v>
      </c>
      <c r="F234" s="85">
        <f>IFERROR(VLOOKUP(D234,'1월'!D:F,3,0),)</f>
        <v>0</v>
      </c>
      <c r="G234" s="58">
        <v>2</v>
      </c>
      <c r="H234" s="58"/>
      <c r="I234" s="58"/>
      <c r="J234" s="58"/>
      <c r="K234" s="81"/>
      <c r="L234" s="42" t="str">
        <f>IF($F234&gt;=L$2,"-",IF(IFERROR(VLOOKUP($G234,$U:$U,1,1),0)&gt;=L$2,"o","-"))</f>
        <v>o</v>
      </c>
      <c r="M234" s="42" t="str">
        <f>IF($F234&gt;=M$2,"-",IF(IFERROR(VLOOKUP($G234,$U:$U,1,1),0)&gt;=M$2,"o","-"))</f>
        <v>-</v>
      </c>
      <c r="N234" s="42" t="str">
        <f>IF($F234&gt;=N$2,"-",IF(IFERROR(VLOOKUP($G234,$U:$U,1,1),0)&gt;=N$2,"o","-"))</f>
        <v>-</v>
      </c>
      <c r="O234" s="42" t="str">
        <f>IF($F234&gt;=O$2,"-",IF(IFERROR(VLOOKUP($G234,$U:$U,1,1),0)&gt;=O$2,"o","-"))</f>
        <v>-</v>
      </c>
      <c r="P234" s="42" t="str">
        <f>IF($F234&gt;=P$2,"-",IF(IFERROR(VLOOKUP($G234,$U:$U,1,1),0)&gt;=P$2,"o","-"))</f>
        <v>-</v>
      </c>
      <c r="Q234" s="42" t="str">
        <f>IF($F234&gt;=Q$2,"-",IF(IFERROR(VLOOKUP($G234,$U:$U,1,1),0)&gt;=Q$2,"o","-"))</f>
        <v>-</v>
      </c>
      <c r="R234" s="42" t="str">
        <f>IF($F234&gt;=R$2,"-",IF(IFERROR(VLOOKUP($G234,$U:$U,1,1),0)&gt;=R$2,"o","-"))</f>
        <v>-</v>
      </c>
      <c r="S234" s="12">
        <f>IF(L234="o",50000,0)+IF(M234="o",100000,0)+IF(N234="o",200000,0)+IF(O234="o",400000,0)+IF(P234="o",600000,0)+IF(Q234="o",1000000,0)+IF(R234="o",2000000,0)</f>
        <v>50000</v>
      </c>
    </row>
    <row r="235" spans="2:19">
      <c r="B235" s="9">
        <v>230</v>
      </c>
      <c r="C235" s="10" t="s">
        <v>625</v>
      </c>
      <c r="D235" s="10" t="s">
        <v>863</v>
      </c>
      <c r="E235" s="82">
        <v>41902932</v>
      </c>
      <c r="F235" s="85">
        <f>IFERROR(VLOOKUP(D235,'1월'!D:F,3,0),)</f>
        <v>0</v>
      </c>
      <c r="G235" s="58">
        <v>2</v>
      </c>
      <c r="H235" s="58"/>
      <c r="I235" s="58"/>
      <c r="J235" s="58"/>
      <c r="K235" s="81"/>
      <c r="L235" s="42" t="str">
        <f>IF($F235&gt;=L$2,"-",IF(IFERROR(VLOOKUP($G235,$U:$U,1,1),0)&gt;=L$2,"o","-"))</f>
        <v>o</v>
      </c>
      <c r="M235" s="42" t="str">
        <f>IF($F235&gt;=M$2,"-",IF(IFERROR(VLOOKUP($G235,$U:$U,1,1),0)&gt;=M$2,"o","-"))</f>
        <v>-</v>
      </c>
      <c r="N235" s="42" t="str">
        <f>IF($F235&gt;=N$2,"-",IF(IFERROR(VLOOKUP($G235,$U:$U,1,1),0)&gt;=N$2,"o","-"))</f>
        <v>-</v>
      </c>
      <c r="O235" s="42" t="str">
        <f>IF($F235&gt;=O$2,"-",IF(IFERROR(VLOOKUP($G235,$U:$U,1,1),0)&gt;=O$2,"o","-"))</f>
        <v>-</v>
      </c>
      <c r="P235" s="42" t="str">
        <f>IF($F235&gt;=P$2,"-",IF(IFERROR(VLOOKUP($G235,$U:$U,1,1),0)&gt;=P$2,"o","-"))</f>
        <v>-</v>
      </c>
      <c r="Q235" s="42" t="str">
        <f>IF($F235&gt;=Q$2,"-",IF(IFERROR(VLOOKUP($G235,$U:$U,1,1),0)&gt;=Q$2,"o","-"))</f>
        <v>-</v>
      </c>
      <c r="R235" s="42" t="str">
        <f>IF($F235&gt;=R$2,"-",IF(IFERROR(VLOOKUP($G235,$U:$U,1,1),0)&gt;=R$2,"o","-"))</f>
        <v>-</v>
      </c>
      <c r="S235" s="12">
        <f>IF(L235="o",50000,0)+IF(M235="o",100000,0)+IF(N235="o",200000,0)+IF(O235="o",400000,0)+IF(P235="o",600000,0)+IF(Q235="o",1000000,0)+IF(R235="o",2000000,0)</f>
        <v>50000</v>
      </c>
    </row>
    <row r="236" spans="2:19">
      <c r="B236" s="9">
        <v>231</v>
      </c>
      <c r="C236" s="10" t="s">
        <v>626</v>
      </c>
      <c r="D236" s="10" t="s">
        <v>864</v>
      </c>
      <c r="E236" s="82">
        <v>31902690</v>
      </c>
      <c r="F236" s="85">
        <f>IFERROR(VLOOKUP(D236,'1월'!D:F,3,0),)</f>
        <v>0</v>
      </c>
      <c r="G236" s="58">
        <v>2</v>
      </c>
      <c r="H236" s="58"/>
      <c r="I236" s="58"/>
      <c r="J236" s="58"/>
      <c r="K236" s="81"/>
      <c r="L236" s="42" t="str">
        <f>IF($F236&gt;=L$2,"-",IF(IFERROR(VLOOKUP($G236,$U:$U,1,1),0)&gt;=L$2,"o","-"))</f>
        <v>o</v>
      </c>
      <c r="M236" s="42" t="str">
        <f>IF($F236&gt;=M$2,"-",IF(IFERROR(VLOOKUP($G236,$U:$U,1,1),0)&gt;=M$2,"o","-"))</f>
        <v>-</v>
      </c>
      <c r="N236" s="42" t="str">
        <f>IF($F236&gt;=N$2,"-",IF(IFERROR(VLOOKUP($G236,$U:$U,1,1),0)&gt;=N$2,"o","-"))</f>
        <v>-</v>
      </c>
      <c r="O236" s="42" t="str">
        <f>IF($F236&gt;=O$2,"-",IF(IFERROR(VLOOKUP($G236,$U:$U,1,1),0)&gt;=O$2,"o","-"))</f>
        <v>-</v>
      </c>
      <c r="P236" s="42" t="str">
        <f>IF($F236&gt;=P$2,"-",IF(IFERROR(VLOOKUP($G236,$U:$U,1,1),0)&gt;=P$2,"o","-"))</f>
        <v>-</v>
      </c>
      <c r="Q236" s="42" t="str">
        <f>IF($F236&gt;=Q$2,"-",IF(IFERROR(VLOOKUP($G236,$U:$U,1,1),0)&gt;=Q$2,"o","-"))</f>
        <v>-</v>
      </c>
      <c r="R236" s="42" t="str">
        <f>IF($F236&gt;=R$2,"-",IF(IFERROR(VLOOKUP($G236,$U:$U,1,1),0)&gt;=R$2,"o","-"))</f>
        <v>-</v>
      </c>
      <c r="S236" s="12">
        <f>IF(L236="o",50000,0)+IF(M236="o",100000,0)+IF(N236="o",200000,0)+IF(O236="o",400000,0)+IF(P236="o",600000,0)+IF(Q236="o",1000000,0)+IF(R236="o",2000000,0)</f>
        <v>50000</v>
      </c>
    </row>
    <row r="237" spans="2:19">
      <c r="B237" s="9">
        <v>232</v>
      </c>
      <c r="C237" s="10" t="s">
        <v>627</v>
      </c>
      <c r="D237" s="10" t="s">
        <v>865</v>
      </c>
      <c r="E237" s="82">
        <v>32300372</v>
      </c>
      <c r="F237" s="85">
        <f>IFERROR(VLOOKUP(D237,'1월'!D:F,3,0),)</f>
        <v>0</v>
      </c>
      <c r="G237" s="58">
        <v>2</v>
      </c>
      <c r="H237" s="58"/>
      <c r="I237" s="58"/>
      <c r="J237" s="58"/>
      <c r="K237" s="81"/>
      <c r="L237" s="42" t="str">
        <f>IF($F237&gt;=L$2,"-",IF(IFERROR(VLOOKUP($G237,$U:$U,1,1),0)&gt;=L$2,"o","-"))</f>
        <v>o</v>
      </c>
      <c r="M237" s="42" t="str">
        <f>IF($F237&gt;=M$2,"-",IF(IFERROR(VLOOKUP($G237,$U:$U,1,1),0)&gt;=M$2,"o","-"))</f>
        <v>-</v>
      </c>
      <c r="N237" s="42" t="str">
        <f>IF($F237&gt;=N$2,"-",IF(IFERROR(VLOOKUP($G237,$U:$U,1,1),0)&gt;=N$2,"o","-"))</f>
        <v>-</v>
      </c>
      <c r="O237" s="42" t="str">
        <f>IF($F237&gt;=O$2,"-",IF(IFERROR(VLOOKUP($G237,$U:$U,1,1),0)&gt;=O$2,"o","-"))</f>
        <v>-</v>
      </c>
      <c r="P237" s="42" t="str">
        <f>IF($F237&gt;=P$2,"-",IF(IFERROR(VLOOKUP($G237,$U:$U,1,1),0)&gt;=P$2,"o","-"))</f>
        <v>-</v>
      </c>
      <c r="Q237" s="42" t="str">
        <f>IF($F237&gt;=Q$2,"-",IF(IFERROR(VLOOKUP($G237,$U:$U,1,1),0)&gt;=Q$2,"o","-"))</f>
        <v>-</v>
      </c>
      <c r="R237" s="42" t="str">
        <f>IF($F237&gt;=R$2,"-",IF(IFERROR(VLOOKUP($G237,$U:$U,1,1),0)&gt;=R$2,"o","-"))</f>
        <v>-</v>
      </c>
      <c r="S237" s="12">
        <f>IF(L237="o",50000,0)+IF(M237="o",100000,0)+IF(N237="o",200000,0)+IF(O237="o",400000,0)+IF(P237="o",600000,0)+IF(Q237="o",1000000,0)+IF(R237="o",2000000,0)</f>
        <v>50000</v>
      </c>
    </row>
    <row r="238" spans="2:19">
      <c r="B238" s="9">
        <v>233</v>
      </c>
      <c r="C238" s="10" t="s">
        <v>628</v>
      </c>
      <c r="D238" s="10" t="s">
        <v>866</v>
      </c>
      <c r="E238" s="82">
        <v>31204659</v>
      </c>
      <c r="F238" s="85">
        <f>IFERROR(VLOOKUP(D238,'1월'!D:F,3,0),)</f>
        <v>0</v>
      </c>
      <c r="G238" s="58">
        <v>2</v>
      </c>
      <c r="H238" s="58"/>
      <c r="I238" s="58"/>
      <c r="J238" s="58"/>
      <c r="K238" s="81"/>
      <c r="L238" s="42" t="str">
        <f>IF($F238&gt;=L$2,"-",IF(IFERROR(VLOOKUP($G238,$U:$U,1,1),0)&gt;=L$2,"o","-"))</f>
        <v>o</v>
      </c>
      <c r="M238" s="42" t="str">
        <f>IF($F238&gt;=M$2,"-",IF(IFERROR(VLOOKUP($G238,$U:$U,1,1),0)&gt;=M$2,"o","-"))</f>
        <v>-</v>
      </c>
      <c r="N238" s="42" t="str">
        <f>IF($F238&gt;=N$2,"-",IF(IFERROR(VLOOKUP($G238,$U:$U,1,1),0)&gt;=N$2,"o","-"))</f>
        <v>-</v>
      </c>
      <c r="O238" s="42" t="str">
        <f>IF($F238&gt;=O$2,"-",IF(IFERROR(VLOOKUP($G238,$U:$U,1,1),0)&gt;=O$2,"o","-"))</f>
        <v>-</v>
      </c>
      <c r="P238" s="42" t="str">
        <f>IF($F238&gt;=P$2,"-",IF(IFERROR(VLOOKUP($G238,$U:$U,1,1),0)&gt;=P$2,"o","-"))</f>
        <v>-</v>
      </c>
      <c r="Q238" s="42" t="str">
        <f>IF($F238&gt;=Q$2,"-",IF(IFERROR(VLOOKUP($G238,$U:$U,1,1),0)&gt;=Q$2,"o","-"))</f>
        <v>-</v>
      </c>
      <c r="R238" s="42" t="str">
        <f>IF($F238&gt;=R$2,"-",IF(IFERROR(VLOOKUP($G238,$U:$U,1,1),0)&gt;=R$2,"o","-"))</f>
        <v>-</v>
      </c>
      <c r="S238" s="12">
        <f>IF(L238="o",50000,0)+IF(M238="o",100000,0)+IF(N238="o",200000,0)+IF(O238="o",400000,0)+IF(P238="o",600000,0)+IF(Q238="o",1000000,0)+IF(R238="o",2000000,0)</f>
        <v>50000</v>
      </c>
    </row>
    <row r="239" spans="2:19">
      <c r="B239" s="9">
        <v>234</v>
      </c>
      <c r="C239" s="10" t="s">
        <v>591</v>
      </c>
      <c r="D239" s="10" t="s">
        <v>867</v>
      </c>
      <c r="E239" s="82">
        <v>42000815</v>
      </c>
      <c r="F239" s="85">
        <f>IFERROR(VLOOKUP(D239,'1월'!D:F,3,0),)</f>
        <v>0</v>
      </c>
      <c r="G239" s="58">
        <v>2</v>
      </c>
      <c r="H239" s="58"/>
      <c r="I239" s="58"/>
      <c r="J239" s="58"/>
      <c r="K239" s="81"/>
      <c r="L239" s="42" t="str">
        <f>IF($F239&gt;=L$2,"-",IF(IFERROR(VLOOKUP($G239,$U:$U,1,1),0)&gt;=L$2,"o","-"))</f>
        <v>o</v>
      </c>
      <c r="M239" s="42" t="str">
        <f>IF($F239&gt;=M$2,"-",IF(IFERROR(VLOOKUP($G239,$U:$U,1,1),0)&gt;=M$2,"o","-"))</f>
        <v>-</v>
      </c>
      <c r="N239" s="42" t="str">
        <f>IF($F239&gt;=N$2,"-",IF(IFERROR(VLOOKUP($G239,$U:$U,1,1),0)&gt;=N$2,"o","-"))</f>
        <v>-</v>
      </c>
      <c r="O239" s="42" t="str">
        <f>IF($F239&gt;=O$2,"-",IF(IFERROR(VLOOKUP($G239,$U:$U,1,1),0)&gt;=O$2,"o","-"))</f>
        <v>-</v>
      </c>
      <c r="P239" s="42" t="str">
        <f>IF($F239&gt;=P$2,"-",IF(IFERROR(VLOOKUP($G239,$U:$U,1,1),0)&gt;=P$2,"o","-"))</f>
        <v>-</v>
      </c>
      <c r="Q239" s="42" t="str">
        <f>IF($F239&gt;=Q$2,"-",IF(IFERROR(VLOOKUP($G239,$U:$U,1,1),0)&gt;=Q$2,"o","-"))</f>
        <v>-</v>
      </c>
      <c r="R239" s="42" t="str">
        <f>IF($F239&gt;=R$2,"-",IF(IFERROR(VLOOKUP($G239,$U:$U,1,1),0)&gt;=R$2,"o","-"))</f>
        <v>-</v>
      </c>
      <c r="S239" s="12">
        <f>IF(L239="o",50000,0)+IF(M239="o",100000,0)+IF(N239="o",200000,0)+IF(O239="o",400000,0)+IF(P239="o",600000,0)+IF(Q239="o",1000000,0)+IF(R239="o",2000000,0)</f>
        <v>50000</v>
      </c>
    </row>
    <row r="240" spans="2:19">
      <c r="B240" s="9">
        <v>235</v>
      </c>
      <c r="C240" s="10" t="s">
        <v>161</v>
      </c>
      <c r="D240" s="10" t="s">
        <v>868</v>
      </c>
      <c r="E240" s="82">
        <v>41502341</v>
      </c>
      <c r="F240" s="85">
        <f>IFERROR(VLOOKUP(D240,'1월'!D:F,3,0),)</f>
        <v>0</v>
      </c>
      <c r="G240" s="58">
        <v>2</v>
      </c>
      <c r="H240" s="58"/>
      <c r="I240" s="58"/>
      <c r="J240" s="58"/>
      <c r="K240" s="81"/>
      <c r="L240" s="42" t="str">
        <f>IF($F240&gt;=L$2,"-",IF(IFERROR(VLOOKUP($G240,$U:$U,1,1),0)&gt;=L$2,"o","-"))</f>
        <v>o</v>
      </c>
      <c r="M240" s="42" t="str">
        <f>IF($F240&gt;=M$2,"-",IF(IFERROR(VLOOKUP($G240,$U:$U,1,1),0)&gt;=M$2,"o","-"))</f>
        <v>-</v>
      </c>
      <c r="N240" s="42" t="str">
        <f>IF($F240&gt;=N$2,"-",IF(IFERROR(VLOOKUP($G240,$U:$U,1,1),0)&gt;=N$2,"o","-"))</f>
        <v>-</v>
      </c>
      <c r="O240" s="42" t="str">
        <f>IF($F240&gt;=O$2,"-",IF(IFERROR(VLOOKUP($G240,$U:$U,1,1),0)&gt;=O$2,"o","-"))</f>
        <v>-</v>
      </c>
      <c r="P240" s="42" t="str">
        <f>IF($F240&gt;=P$2,"-",IF(IFERROR(VLOOKUP($G240,$U:$U,1,1),0)&gt;=P$2,"o","-"))</f>
        <v>-</v>
      </c>
      <c r="Q240" s="42" t="str">
        <f>IF($F240&gt;=Q$2,"-",IF(IFERROR(VLOOKUP($G240,$U:$U,1,1),0)&gt;=Q$2,"o","-"))</f>
        <v>-</v>
      </c>
      <c r="R240" s="42" t="str">
        <f>IF($F240&gt;=R$2,"-",IF(IFERROR(VLOOKUP($G240,$U:$U,1,1),0)&gt;=R$2,"o","-"))</f>
        <v>-</v>
      </c>
      <c r="S240" s="12">
        <f>IF(L240="o",50000,0)+IF(M240="o",100000,0)+IF(N240="o",200000,0)+IF(O240="o",400000,0)+IF(P240="o",600000,0)+IF(Q240="o",1000000,0)+IF(R240="o",2000000,0)</f>
        <v>50000</v>
      </c>
    </row>
    <row r="241" spans="2:19">
      <c r="B241" s="9">
        <v>236</v>
      </c>
      <c r="C241" s="10" t="s">
        <v>629</v>
      </c>
      <c r="D241" s="10" t="s">
        <v>869</v>
      </c>
      <c r="E241" s="82">
        <v>42300687</v>
      </c>
      <c r="F241" s="85">
        <f>IFERROR(VLOOKUP(D241,'1월'!D:F,3,0),)</f>
        <v>0</v>
      </c>
      <c r="G241" s="58">
        <v>2</v>
      </c>
      <c r="H241" s="58"/>
      <c r="I241" s="58"/>
      <c r="J241" s="58"/>
      <c r="K241" s="81"/>
      <c r="L241" s="42" t="str">
        <f>IF($F241&gt;=L$2,"-",IF(IFERROR(VLOOKUP($G241,$U:$U,1,1),0)&gt;=L$2,"o","-"))</f>
        <v>o</v>
      </c>
      <c r="M241" s="42" t="str">
        <f>IF($F241&gt;=M$2,"-",IF(IFERROR(VLOOKUP($G241,$U:$U,1,1),0)&gt;=M$2,"o","-"))</f>
        <v>-</v>
      </c>
      <c r="N241" s="42" t="str">
        <f>IF($F241&gt;=N$2,"-",IF(IFERROR(VLOOKUP($G241,$U:$U,1,1),0)&gt;=N$2,"o","-"))</f>
        <v>-</v>
      </c>
      <c r="O241" s="42" t="str">
        <f>IF($F241&gt;=O$2,"-",IF(IFERROR(VLOOKUP($G241,$U:$U,1,1),0)&gt;=O$2,"o","-"))</f>
        <v>-</v>
      </c>
      <c r="P241" s="42" t="str">
        <f>IF($F241&gt;=P$2,"-",IF(IFERROR(VLOOKUP($G241,$U:$U,1,1),0)&gt;=P$2,"o","-"))</f>
        <v>-</v>
      </c>
      <c r="Q241" s="42" t="str">
        <f>IF($F241&gt;=Q$2,"-",IF(IFERROR(VLOOKUP($G241,$U:$U,1,1),0)&gt;=Q$2,"o","-"))</f>
        <v>-</v>
      </c>
      <c r="R241" s="42" t="str">
        <f>IF($F241&gt;=R$2,"-",IF(IFERROR(VLOOKUP($G241,$U:$U,1,1),0)&gt;=R$2,"o","-"))</f>
        <v>-</v>
      </c>
      <c r="S241" s="12">
        <f>IF(L241="o",50000,0)+IF(M241="o",100000,0)+IF(N241="o",200000,0)+IF(O241="o",400000,0)+IF(P241="o",600000,0)+IF(Q241="o",1000000,0)+IF(R241="o",2000000,0)</f>
        <v>50000</v>
      </c>
    </row>
    <row r="242" spans="2:19">
      <c r="B242" s="9">
        <v>237</v>
      </c>
      <c r="C242" s="10" t="s">
        <v>630</v>
      </c>
      <c r="D242" s="10" t="s">
        <v>870</v>
      </c>
      <c r="E242" s="82">
        <v>32406393</v>
      </c>
      <c r="F242" s="85">
        <f>IFERROR(VLOOKUP(D242,'1월'!D:F,3,0),)</f>
        <v>0</v>
      </c>
      <c r="G242" s="58">
        <v>2</v>
      </c>
      <c r="H242" s="58"/>
      <c r="I242" s="58"/>
      <c r="J242" s="58"/>
      <c r="K242" s="81"/>
      <c r="L242" s="42" t="str">
        <f>IF($F242&gt;=L$2,"-",IF(IFERROR(VLOOKUP($G242,$U:$U,1,1),0)&gt;=L$2,"o","-"))</f>
        <v>o</v>
      </c>
      <c r="M242" s="42" t="str">
        <f>IF($F242&gt;=M$2,"-",IF(IFERROR(VLOOKUP($G242,$U:$U,1,1),0)&gt;=M$2,"o","-"))</f>
        <v>-</v>
      </c>
      <c r="N242" s="42" t="str">
        <f>IF($F242&gt;=N$2,"-",IF(IFERROR(VLOOKUP($G242,$U:$U,1,1),0)&gt;=N$2,"o","-"))</f>
        <v>-</v>
      </c>
      <c r="O242" s="42" t="str">
        <f>IF($F242&gt;=O$2,"-",IF(IFERROR(VLOOKUP($G242,$U:$U,1,1),0)&gt;=O$2,"o","-"))</f>
        <v>-</v>
      </c>
      <c r="P242" s="42" t="str">
        <f>IF($F242&gt;=P$2,"-",IF(IFERROR(VLOOKUP($G242,$U:$U,1,1),0)&gt;=P$2,"o","-"))</f>
        <v>-</v>
      </c>
      <c r="Q242" s="42" t="str">
        <f>IF($F242&gt;=Q$2,"-",IF(IFERROR(VLOOKUP($G242,$U:$U,1,1),0)&gt;=Q$2,"o","-"))</f>
        <v>-</v>
      </c>
      <c r="R242" s="42" t="str">
        <f>IF($F242&gt;=R$2,"-",IF(IFERROR(VLOOKUP($G242,$U:$U,1,1),0)&gt;=R$2,"o","-"))</f>
        <v>-</v>
      </c>
      <c r="S242" s="12">
        <f>IF(L242="o",50000,0)+IF(M242="o",100000,0)+IF(N242="o",200000,0)+IF(O242="o",400000,0)+IF(P242="o",600000,0)+IF(Q242="o",1000000,0)+IF(R242="o",2000000,0)</f>
        <v>50000</v>
      </c>
    </row>
    <row r="243" spans="2:19">
      <c r="B243" s="9">
        <v>238</v>
      </c>
      <c r="C243" s="10" t="s">
        <v>631</v>
      </c>
      <c r="D243" s="10" t="s">
        <v>871</v>
      </c>
      <c r="E243" s="82">
        <v>41200229</v>
      </c>
      <c r="F243" s="85">
        <f>IFERROR(VLOOKUP(D243,'1월'!D:F,3,0),)</f>
        <v>0</v>
      </c>
      <c r="G243" s="58">
        <v>2</v>
      </c>
      <c r="H243" s="58"/>
      <c r="I243" s="58"/>
      <c r="J243" s="58"/>
      <c r="K243" s="81"/>
      <c r="L243" s="42" t="str">
        <f>IF($F243&gt;=L$2,"-",IF(IFERROR(VLOOKUP($G243,$U:$U,1,1),0)&gt;=L$2,"o","-"))</f>
        <v>o</v>
      </c>
      <c r="M243" s="42" t="str">
        <f>IF($F243&gt;=M$2,"-",IF(IFERROR(VLOOKUP($G243,$U:$U,1,1),0)&gt;=M$2,"o","-"))</f>
        <v>-</v>
      </c>
      <c r="N243" s="42" t="str">
        <f>IF($F243&gt;=N$2,"-",IF(IFERROR(VLOOKUP($G243,$U:$U,1,1),0)&gt;=N$2,"o","-"))</f>
        <v>-</v>
      </c>
      <c r="O243" s="42" t="str">
        <f>IF($F243&gt;=O$2,"-",IF(IFERROR(VLOOKUP($G243,$U:$U,1,1),0)&gt;=O$2,"o","-"))</f>
        <v>-</v>
      </c>
      <c r="P243" s="42" t="str">
        <f>IF($F243&gt;=P$2,"-",IF(IFERROR(VLOOKUP($G243,$U:$U,1,1),0)&gt;=P$2,"o","-"))</f>
        <v>-</v>
      </c>
      <c r="Q243" s="42" t="str">
        <f>IF($F243&gt;=Q$2,"-",IF(IFERROR(VLOOKUP($G243,$U:$U,1,1),0)&gt;=Q$2,"o","-"))</f>
        <v>-</v>
      </c>
      <c r="R243" s="42" t="str">
        <f>IF($F243&gt;=R$2,"-",IF(IFERROR(VLOOKUP($G243,$U:$U,1,1),0)&gt;=R$2,"o","-"))</f>
        <v>-</v>
      </c>
      <c r="S243" s="12">
        <f>IF(L243="o",50000,0)+IF(M243="o",100000,0)+IF(N243="o",200000,0)+IF(O243="o",400000,0)+IF(P243="o",600000,0)+IF(Q243="o",1000000,0)+IF(R243="o",2000000,0)</f>
        <v>50000</v>
      </c>
    </row>
    <row r="244" spans="2:19">
      <c r="B244" s="9">
        <v>239</v>
      </c>
      <c r="C244" s="10" t="s">
        <v>632</v>
      </c>
      <c r="D244" s="10" t="s">
        <v>872</v>
      </c>
      <c r="E244" s="82">
        <v>31800486</v>
      </c>
      <c r="F244" s="85">
        <f>IFERROR(VLOOKUP(D244,'1월'!D:F,3,0),)</f>
        <v>0</v>
      </c>
      <c r="G244" s="58">
        <v>2</v>
      </c>
      <c r="H244" s="58"/>
      <c r="I244" s="58"/>
      <c r="J244" s="58"/>
      <c r="K244" s="81"/>
      <c r="L244" s="42" t="str">
        <f>IF($F244&gt;=L$2,"-",IF(IFERROR(VLOOKUP($G244,$U:$U,1,1),0)&gt;=L$2,"o","-"))</f>
        <v>o</v>
      </c>
      <c r="M244" s="42" t="str">
        <f>IF($F244&gt;=M$2,"-",IF(IFERROR(VLOOKUP($G244,$U:$U,1,1),0)&gt;=M$2,"o","-"))</f>
        <v>-</v>
      </c>
      <c r="N244" s="42" t="str">
        <f>IF($F244&gt;=N$2,"-",IF(IFERROR(VLOOKUP($G244,$U:$U,1,1),0)&gt;=N$2,"o","-"))</f>
        <v>-</v>
      </c>
      <c r="O244" s="42" t="str">
        <f>IF($F244&gt;=O$2,"-",IF(IFERROR(VLOOKUP($G244,$U:$U,1,1),0)&gt;=O$2,"o","-"))</f>
        <v>-</v>
      </c>
      <c r="P244" s="42" t="str">
        <f>IF($F244&gt;=P$2,"-",IF(IFERROR(VLOOKUP($G244,$U:$U,1,1),0)&gt;=P$2,"o","-"))</f>
        <v>-</v>
      </c>
      <c r="Q244" s="42" t="str">
        <f>IF($F244&gt;=Q$2,"-",IF(IFERROR(VLOOKUP($G244,$U:$U,1,1),0)&gt;=Q$2,"o","-"))</f>
        <v>-</v>
      </c>
      <c r="R244" s="42" t="str">
        <f>IF($F244&gt;=R$2,"-",IF(IFERROR(VLOOKUP($G244,$U:$U,1,1),0)&gt;=R$2,"o","-"))</f>
        <v>-</v>
      </c>
      <c r="S244" s="12">
        <f>IF(L244="o",50000,0)+IF(M244="o",100000,0)+IF(N244="o",200000,0)+IF(O244="o",400000,0)+IF(P244="o",600000,0)+IF(Q244="o",1000000,0)+IF(R244="o",2000000,0)</f>
        <v>50000</v>
      </c>
    </row>
    <row r="245" spans="2:19">
      <c r="B245" s="9">
        <v>240</v>
      </c>
      <c r="C245" s="10" t="s">
        <v>633</v>
      </c>
      <c r="D245" s="10" t="s">
        <v>873</v>
      </c>
      <c r="E245" s="82">
        <v>41502459</v>
      </c>
      <c r="F245" s="85">
        <f>IFERROR(VLOOKUP(D245,'1월'!D:F,3,0),)</f>
        <v>0</v>
      </c>
      <c r="G245" s="58">
        <v>2</v>
      </c>
      <c r="H245" s="58"/>
      <c r="I245" s="58"/>
      <c r="J245" s="58"/>
      <c r="K245" s="81"/>
      <c r="L245" s="42" t="str">
        <f>IF($F245&gt;=L$2,"-",IF(IFERROR(VLOOKUP($G245,$U:$U,1,1),0)&gt;=L$2,"o","-"))</f>
        <v>o</v>
      </c>
      <c r="M245" s="42" t="str">
        <f>IF($F245&gt;=M$2,"-",IF(IFERROR(VLOOKUP($G245,$U:$U,1,1),0)&gt;=M$2,"o","-"))</f>
        <v>-</v>
      </c>
      <c r="N245" s="42" t="str">
        <f>IF($F245&gt;=N$2,"-",IF(IFERROR(VLOOKUP($G245,$U:$U,1,1),0)&gt;=N$2,"o","-"))</f>
        <v>-</v>
      </c>
      <c r="O245" s="42" t="str">
        <f>IF($F245&gt;=O$2,"-",IF(IFERROR(VLOOKUP($G245,$U:$U,1,1),0)&gt;=O$2,"o","-"))</f>
        <v>-</v>
      </c>
      <c r="P245" s="42" t="str">
        <f>IF($F245&gt;=P$2,"-",IF(IFERROR(VLOOKUP($G245,$U:$U,1,1),0)&gt;=P$2,"o","-"))</f>
        <v>-</v>
      </c>
      <c r="Q245" s="42" t="str">
        <f>IF($F245&gt;=Q$2,"-",IF(IFERROR(VLOOKUP($G245,$U:$U,1,1),0)&gt;=Q$2,"o","-"))</f>
        <v>-</v>
      </c>
      <c r="R245" s="42" t="str">
        <f>IF($F245&gt;=R$2,"-",IF(IFERROR(VLOOKUP($G245,$U:$U,1,1),0)&gt;=R$2,"o","-"))</f>
        <v>-</v>
      </c>
      <c r="S245" s="12">
        <f>IF(L245="o",50000,0)+IF(M245="o",100000,0)+IF(N245="o",200000,0)+IF(O245="o",400000,0)+IF(P245="o",600000,0)+IF(Q245="o",1000000,0)+IF(R245="o",2000000,0)</f>
        <v>50000</v>
      </c>
    </row>
    <row r="246" spans="2:19">
      <c r="B246" s="9">
        <v>241</v>
      </c>
      <c r="C246" s="10" t="s">
        <v>634</v>
      </c>
      <c r="D246" s="10" t="s">
        <v>874</v>
      </c>
      <c r="E246" s="82">
        <v>32000834</v>
      </c>
      <c r="F246" s="85">
        <f>IFERROR(VLOOKUP(D246,'1월'!D:F,3,0),)</f>
        <v>0</v>
      </c>
      <c r="G246" s="58">
        <v>2</v>
      </c>
      <c r="H246" s="58"/>
      <c r="I246" s="58"/>
      <c r="J246" s="58"/>
      <c r="K246" s="81"/>
      <c r="L246" s="42" t="str">
        <f>IF($F246&gt;=L$2,"-",IF(IFERROR(VLOOKUP($G246,$U:$U,1,1),0)&gt;=L$2,"o","-"))</f>
        <v>o</v>
      </c>
      <c r="M246" s="42" t="str">
        <f>IF($F246&gt;=M$2,"-",IF(IFERROR(VLOOKUP($G246,$U:$U,1,1),0)&gt;=M$2,"o","-"))</f>
        <v>-</v>
      </c>
      <c r="N246" s="42" t="str">
        <f>IF($F246&gt;=N$2,"-",IF(IFERROR(VLOOKUP($G246,$U:$U,1,1),0)&gt;=N$2,"o","-"))</f>
        <v>-</v>
      </c>
      <c r="O246" s="42" t="str">
        <f>IF($F246&gt;=O$2,"-",IF(IFERROR(VLOOKUP($G246,$U:$U,1,1),0)&gt;=O$2,"o","-"))</f>
        <v>-</v>
      </c>
      <c r="P246" s="42" t="str">
        <f>IF($F246&gt;=P$2,"-",IF(IFERROR(VLOOKUP($G246,$U:$U,1,1),0)&gt;=P$2,"o","-"))</f>
        <v>-</v>
      </c>
      <c r="Q246" s="42" t="str">
        <f>IF($F246&gt;=Q$2,"-",IF(IFERROR(VLOOKUP($G246,$U:$U,1,1),0)&gt;=Q$2,"o","-"))</f>
        <v>-</v>
      </c>
      <c r="R246" s="42" t="str">
        <f>IF($F246&gt;=R$2,"-",IF(IFERROR(VLOOKUP($G246,$U:$U,1,1),0)&gt;=R$2,"o","-"))</f>
        <v>-</v>
      </c>
      <c r="S246" s="12">
        <f>IF(L246="o",50000,0)+IF(M246="o",100000,0)+IF(N246="o",200000,0)+IF(O246="o",400000,0)+IF(P246="o",600000,0)+IF(Q246="o",1000000,0)+IF(R246="o",2000000,0)</f>
        <v>50000</v>
      </c>
    </row>
    <row r="247" spans="2:19">
      <c r="B247" s="9">
        <v>242</v>
      </c>
      <c r="C247" s="10" t="s">
        <v>635</v>
      </c>
      <c r="D247" s="10" t="s">
        <v>875</v>
      </c>
      <c r="E247" s="82">
        <v>41803400</v>
      </c>
      <c r="F247" s="85">
        <f>IFERROR(VLOOKUP(D247,'1월'!D:F,3,0),)</f>
        <v>0</v>
      </c>
      <c r="G247" s="58">
        <v>2</v>
      </c>
      <c r="H247" s="58"/>
      <c r="I247" s="58"/>
      <c r="J247" s="58"/>
      <c r="K247" s="81"/>
      <c r="L247" s="42" t="str">
        <f>IF($F247&gt;=L$2,"-",IF(IFERROR(VLOOKUP($G247,$U:$U,1,1),0)&gt;=L$2,"o","-"))</f>
        <v>o</v>
      </c>
      <c r="M247" s="42" t="str">
        <f>IF($F247&gt;=M$2,"-",IF(IFERROR(VLOOKUP($G247,$U:$U,1,1),0)&gt;=M$2,"o","-"))</f>
        <v>-</v>
      </c>
      <c r="N247" s="42" t="str">
        <f>IF($F247&gt;=N$2,"-",IF(IFERROR(VLOOKUP($G247,$U:$U,1,1),0)&gt;=N$2,"o","-"))</f>
        <v>-</v>
      </c>
      <c r="O247" s="42" t="str">
        <f>IF($F247&gt;=O$2,"-",IF(IFERROR(VLOOKUP($G247,$U:$U,1,1),0)&gt;=O$2,"o","-"))</f>
        <v>-</v>
      </c>
      <c r="P247" s="42" t="str">
        <f>IF($F247&gt;=P$2,"-",IF(IFERROR(VLOOKUP($G247,$U:$U,1,1),0)&gt;=P$2,"o","-"))</f>
        <v>-</v>
      </c>
      <c r="Q247" s="42" t="str">
        <f>IF($F247&gt;=Q$2,"-",IF(IFERROR(VLOOKUP($G247,$U:$U,1,1),0)&gt;=Q$2,"o","-"))</f>
        <v>-</v>
      </c>
      <c r="R247" s="42" t="str">
        <f>IF($F247&gt;=R$2,"-",IF(IFERROR(VLOOKUP($G247,$U:$U,1,1),0)&gt;=R$2,"o","-"))</f>
        <v>-</v>
      </c>
      <c r="S247" s="12">
        <f>IF(L247="o",50000,0)+IF(M247="o",100000,0)+IF(N247="o",200000,0)+IF(O247="o",400000,0)+IF(P247="o",600000,0)+IF(Q247="o",1000000,0)+IF(R247="o",2000000,0)</f>
        <v>50000</v>
      </c>
    </row>
    <row r="248" spans="2:19">
      <c r="B248" s="9">
        <v>243</v>
      </c>
      <c r="C248" s="10" t="s">
        <v>56</v>
      </c>
      <c r="D248" s="10" t="s">
        <v>876</v>
      </c>
      <c r="E248" s="82">
        <v>42200282</v>
      </c>
      <c r="F248" s="85">
        <f>IFERROR(VLOOKUP(D248,'1월'!D:F,3,0),)</f>
        <v>0</v>
      </c>
      <c r="G248" s="58">
        <v>2</v>
      </c>
      <c r="H248" s="58"/>
      <c r="I248" s="58"/>
      <c r="J248" s="58"/>
      <c r="K248" s="81"/>
      <c r="L248" s="42" t="str">
        <f>IF($F248&gt;=L$2,"-",IF(IFERROR(VLOOKUP($G248,$U:$U,1,1),0)&gt;=L$2,"o","-"))</f>
        <v>o</v>
      </c>
      <c r="M248" s="42" t="str">
        <f>IF($F248&gt;=M$2,"-",IF(IFERROR(VLOOKUP($G248,$U:$U,1,1),0)&gt;=M$2,"o","-"))</f>
        <v>-</v>
      </c>
      <c r="N248" s="42" t="str">
        <f>IF($F248&gt;=N$2,"-",IF(IFERROR(VLOOKUP($G248,$U:$U,1,1),0)&gt;=N$2,"o","-"))</f>
        <v>-</v>
      </c>
      <c r="O248" s="42" t="str">
        <f>IF($F248&gt;=O$2,"-",IF(IFERROR(VLOOKUP($G248,$U:$U,1,1),0)&gt;=O$2,"o","-"))</f>
        <v>-</v>
      </c>
      <c r="P248" s="42" t="str">
        <f>IF($F248&gt;=P$2,"-",IF(IFERROR(VLOOKUP($G248,$U:$U,1,1),0)&gt;=P$2,"o","-"))</f>
        <v>-</v>
      </c>
      <c r="Q248" s="42" t="str">
        <f>IF($F248&gt;=Q$2,"-",IF(IFERROR(VLOOKUP($G248,$U:$U,1,1),0)&gt;=Q$2,"o","-"))</f>
        <v>-</v>
      </c>
      <c r="R248" s="42" t="str">
        <f>IF($F248&gt;=R$2,"-",IF(IFERROR(VLOOKUP($G248,$U:$U,1,1),0)&gt;=R$2,"o","-"))</f>
        <v>-</v>
      </c>
      <c r="S248" s="12">
        <f>IF(L248="o",50000,0)+IF(M248="o",100000,0)+IF(N248="o",200000,0)+IF(O248="o",400000,0)+IF(P248="o",600000,0)+IF(Q248="o",1000000,0)+IF(R248="o",2000000,0)</f>
        <v>50000</v>
      </c>
    </row>
    <row r="249" spans="2:19">
      <c r="B249" s="9">
        <v>244</v>
      </c>
      <c r="C249" s="10" t="s">
        <v>636</v>
      </c>
      <c r="D249" s="10" t="s">
        <v>877</v>
      </c>
      <c r="E249" s="82">
        <v>30700523</v>
      </c>
      <c r="F249" s="85">
        <f>IFERROR(VLOOKUP(D249,'1월'!D:F,3,0),)</f>
        <v>0</v>
      </c>
      <c r="G249" s="58">
        <v>2</v>
      </c>
      <c r="H249" s="58"/>
      <c r="I249" s="58"/>
      <c r="J249" s="58"/>
      <c r="K249" s="81"/>
      <c r="L249" s="42" t="str">
        <f>IF($F249&gt;=L$2,"-",IF(IFERROR(VLOOKUP($G249,$U:$U,1,1),0)&gt;=L$2,"o","-"))</f>
        <v>o</v>
      </c>
      <c r="M249" s="42" t="str">
        <f>IF($F249&gt;=M$2,"-",IF(IFERROR(VLOOKUP($G249,$U:$U,1,1),0)&gt;=M$2,"o","-"))</f>
        <v>-</v>
      </c>
      <c r="N249" s="42" t="str">
        <f>IF($F249&gt;=N$2,"-",IF(IFERROR(VLOOKUP($G249,$U:$U,1,1),0)&gt;=N$2,"o","-"))</f>
        <v>-</v>
      </c>
      <c r="O249" s="42" t="str">
        <f>IF($F249&gt;=O$2,"-",IF(IFERROR(VLOOKUP($G249,$U:$U,1,1),0)&gt;=O$2,"o","-"))</f>
        <v>-</v>
      </c>
      <c r="P249" s="42" t="str">
        <f>IF($F249&gt;=P$2,"-",IF(IFERROR(VLOOKUP($G249,$U:$U,1,1),0)&gt;=P$2,"o","-"))</f>
        <v>-</v>
      </c>
      <c r="Q249" s="42" t="str">
        <f>IF($F249&gt;=Q$2,"-",IF(IFERROR(VLOOKUP($G249,$U:$U,1,1),0)&gt;=Q$2,"o","-"))</f>
        <v>-</v>
      </c>
      <c r="R249" s="42" t="str">
        <f>IF($F249&gt;=R$2,"-",IF(IFERROR(VLOOKUP($G249,$U:$U,1,1),0)&gt;=R$2,"o","-"))</f>
        <v>-</v>
      </c>
      <c r="S249" s="12">
        <f>IF(L249="o",50000,0)+IF(M249="o",100000,0)+IF(N249="o",200000,0)+IF(O249="o",400000,0)+IF(P249="o",600000,0)+IF(Q249="o",1000000,0)+IF(R249="o",2000000,0)</f>
        <v>50000</v>
      </c>
    </row>
    <row r="250" spans="2:19">
      <c r="B250" s="9">
        <v>245</v>
      </c>
      <c r="C250" s="10" t="s">
        <v>637</v>
      </c>
      <c r="D250" s="10" t="s">
        <v>878</v>
      </c>
      <c r="E250" s="82">
        <v>41100400</v>
      </c>
      <c r="F250" s="85">
        <f>IFERROR(VLOOKUP(D250,'1월'!D:F,3,0),)</f>
        <v>0</v>
      </c>
      <c r="G250" s="58">
        <v>2</v>
      </c>
      <c r="H250" s="58"/>
      <c r="I250" s="58"/>
      <c r="J250" s="58"/>
      <c r="K250" s="81"/>
      <c r="L250" s="42" t="str">
        <f>IF($F250&gt;=L$2,"-",IF(IFERROR(VLOOKUP($G250,$U:$U,1,1),0)&gt;=L$2,"o","-"))</f>
        <v>o</v>
      </c>
      <c r="M250" s="42" t="str">
        <f>IF($F250&gt;=M$2,"-",IF(IFERROR(VLOOKUP($G250,$U:$U,1,1),0)&gt;=M$2,"o","-"))</f>
        <v>-</v>
      </c>
      <c r="N250" s="42" t="str">
        <f>IF($F250&gt;=N$2,"-",IF(IFERROR(VLOOKUP($G250,$U:$U,1,1),0)&gt;=N$2,"o","-"))</f>
        <v>-</v>
      </c>
      <c r="O250" s="42" t="str">
        <f>IF($F250&gt;=O$2,"-",IF(IFERROR(VLOOKUP($G250,$U:$U,1,1),0)&gt;=O$2,"o","-"))</f>
        <v>-</v>
      </c>
      <c r="P250" s="42" t="str">
        <f>IF($F250&gt;=P$2,"-",IF(IFERROR(VLOOKUP($G250,$U:$U,1,1),0)&gt;=P$2,"o","-"))</f>
        <v>-</v>
      </c>
      <c r="Q250" s="42" t="str">
        <f>IF($F250&gt;=Q$2,"-",IF(IFERROR(VLOOKUP($G250,$U:$U,1,1),0)&gt;=Q$2,"o","-"))</f>
        <v>-</v>
      </c>
      <c r="R250" s="42" t="str">
        <f>IF($F250&gt;=R$2,"-",IF(IFERROR(VLOOKUP($G250,$U:$U,1,1),0)&gt;=R$2,"o","-"))</f>
        <v>-</v>
      </c>
      <c r="S250" s="12">
        <f>IF(L250="o",50000,0)+IF(M250="o",100000,0)+IF(N250="o",200000,0)+IF(O250="o",400000,0)+IF(P250="o",600000,0)+IF(Q250="o",1000000,0)+IF(R250="o",2000000,0)</f>
        <v>50000</v>
      </c>
    </row>
    <row r="251" spans="2:19">
      <c r="B251" s="9">
        <v>246</v>
      </c>
      <c r="C251" s="10" t="s">
        <v>638</v>
      </c>
      <c r="D251" s="10" t="s">
        <v>879</v>
      </c>
      <c r="E251" s="82">
        <v>41806119</v>
      </c>
      <c r="F251" s="85">
        <f>IFERROR(VLOOKUP(D251,'1월'!D:F,3,0),)</f>
        <v>0</v>
      </c>
      <c r="G251" s="58">
        <v>2</v>
      </c>
      <c r="H251" s="58"/>
      <c r="I251" s="58"/>
      <c r="J251" s="58"/>
      <c r="K251" s="81"/>
      <c r="L251" s="42" t="str">
        <f>IF($F251&gt;=L$2,"-",IF(IFERROR(VLOOKUP($G251,$U:$U,1,1),0)&gt;=L$2,"o","-"))</f>
        <v>o</v>
      </c>
      <c r="M251" s="42" t="str">
        <f>IF($F251&gt;=M$2,"-",IF(IFERROR(VLOOKUP($G251,$U:$U,1,1),0)&gt;=M$2,"o","-"))</f>
        <v>-</v>
      </c>
      <c r="N251" s="42" t="str">
        <f>IF($F251&gt;=N$2,"-",IF(IFERROR(VLOOKUP($G251,$U:$U,1,1),0)&gt;=N$2,"o","-"))</f>
        <v>-</v>
      </c>
      <c r="O251" s="42" t="str">
        <f>IF($F251&gt;=O$2,"-",IF(IFERROR(VLOOKUP($G251,$U:$U,1,1),0)&gt;=O$2,"o","-"))</f>
        <v>-</v>
      </c>
      <c r="P251" s="42" t="str">
        <f>IF($F251&gt;=P$2,"-",IF(IFERROR(VLOOKUP($G251,$U:$U,1,1),0)&gt;=P$2,"o","-"))</f>
        <v>-</v>
      </c>
      <c r="Q251" s="42" t="str">
        <f>IF($F251&gt;=Q$2,"-",IF(IFERROR(VLOOKUP($G251,$U:$U,1,1),0)&gt;=Q$2,"o","-"))</f>
        <v>-</v>
      </c>
      <c r="R251" s="42" t="str">
        <f>IF($F251&gt;=R$2,"-",IF(IFERROR(VLOOKUP($G251,$U:$U,1,1),0)&gt;=R$2,"o","-"))</f>
        <v>-</v>
      </c>
      <c r="S251" s="12">
        <f>IF(L251="o",50000,0)+IF(M251="o",100000,0)+IF(N251="o",200000,0)+IF(O251="o",400000,0)+IF(P251="o",600000,0)+IF(Q251="o",1000000,0)+IF(R251="o",2000000,0)</f>
        <v>50000</v>
      </c>
    </row>
    <row r="252" spans="2:19">
      <c r="B252" s="9">
        <v>247</v>
      </c>
      <c r="C252" s="10" t="s">
        <v>639</v>
      </c>
      <c r="D252" s="10" t="s">
        <v>880</v>
      </c>
      <c r="E252" s="82">
        <v>40717137</v>
      </c>
      <c r="F252" s="85">
        <f>IFERROR(VLOOKUP(D252,'1월'!D:F,3,0),)</f>
        <v>0</v>
      </c>
      <c r="G252" s="58">
        <v>2</v>
      </c>
      <c r="H252" s="58"/>
      <c r="I252" s="58"/>
      <c r="J252" s="58"/>
      <c r="K252" s="81"/>
      <c r="L252" s="42" t="str">
        <f>IF($F252&gt;=L$2,"-",IF(IFERROR(VLOOKUP($G252,$U:$U,1,1),0)&gt;=L$2,"o","-"))</f>
        <v>o</v>
      </c>
      <c r="M252" s="42" t="str">
        <f>IF($F252&gt;=M$2,"-",IF(IFERROR(VLOOKUP($G252,$U:$U,1,1),0)&gt;=M$2,"o","-"))</f>
        <v>-</v>
      </c>
      <c r="N252" s="42" t="str">
        <f>IF($F252&gt;=N$2,"-",IF(IFERROR(VLOOKUP($G252,$U:$U,1,1),0)&gt;=N$2,"o","-"))</f>
        <v>-</v>
      </c>
      <c r="O252" s="42" t="str">
        <f>IF($F252&gt;=O$2,"-",IF(IFERROR(VLOOKUP($G252,$U:$U,1,1),0)&gt;=O$2,"o","-"))</f>
        <v>-</v>
      </c>
      <c r="P252" s="42" t="str">
        <f>IF($F252&gt;=P$2,"-",IF(IFERROR(VLOOKUP($G252,$U:$U,1,1),0)&gt;=P$2,"o","-"))</f>
        <v>-</v>
      </c>
      <c r="Q252" s="42" t="str">
        <f>IF($F252&gt;=Q$2,"-",IF(IFERROR(VLOOKUP($G252,$U:$U,1,1),0)&gt;=Q$2,"o","-"))</f>
        <v>-</v>
      </c>
      <c r="R252" s="42" t="str">
        <f>IF($F252&gt;=R$2,"-",IF(IFERROR(VLOOKUP($G252,$U:$U,1,1),0)&gt;=R$2,"o","-"))</f>
        <v>-</v>
      </c>
      <c r="S252" s="12">
        <f>IF(L252="o",50000,0)+IF(M252="o",100000,0)+IF(N252="o",200000,0)+IF(O252="o",400000,0)+IF(P252="o",600000,0)+IF(Q252="o",1000000,0)+IF(R252="o",2000000,0)</f>
        <v>50000</v>
      </c>
    </row>
    <row r="253" spans="2:19">
      <c r="B253" s="9">
        <v>248</v>
      </c>
      <c r="C253" s="10" t="s">
        <v>640</v>
      </c>
      <c r="D253" s="10" t="s">
        <v>881</v>
      </c>
      <c r="E253" s="82">
        <v>41309580</v>
      </c>
      <c r="F253" s="85">
        <f>IFERROR(VLOOKUP(D253,'1월'!D:F,3,0),)</f>
        <v>0</v>
      </c>
      <c r="G253" s="58">
        <v>2</v>
      </c>
      <c r="H253" s="58"/>
      <c r="I253" s="58"/>
      <c r="J253" s="58"/>
      <c r="K253" s="81"/>
      <c r="L253" s="42" t="str">
        <f>IF($F253&gt;=L$2,"-",IF(IFERROR(VLOOKUP($G253,$U:$U,1,1),0)&gt;=L$2,"o","-"))</f>
        <v>o</v>
      </c>
      <c r="M253" s="42" t="str">
        <f>IF($F253&gt;=M$2,"-",IF(IFERROR(VLOOKUP($G253,$U:$U,1,1),0)&gt;=M$2,"o","-"))</f>
        <v>-</v>
      </c>
      <c r="N253" s="42" t="str">
        <f>IF($F253&gt;=N$2,"-",IF(IFERROR(VLOOKUP($G253,$U:$U,1,1),0)&gt;=N$2,"o","-"))</f>
        <v>-</v>
      </c>
      <c r="O253" s="42" t="str">
        <f>IF($F253&gt;=O$2,"-",IF(IFERROR(VLOOKUP($G253,$U:$U,1,1),0)&gt;=O$2,"o","-"))</f>
        <v>-</v>
      </c>
      <c r="P253" s="42" t="str">
        <f>IF($F253&gt;=P$2,"-",IF(IFERROR(VLOOKUP($G253,$U:$U,1,1),0)&gt;=P$2,"o","-"))</f>
        <v>-</v>
      </c>
      <c r="Q253" s="42" t="str">
        <f>IF($F253&gt;=Q$2,"-",IF(IFERROR(VLOOKUP($G253,$U:$U,1,1),0)&gt;=Q$2,"o","-"))</f>
        <v>-</v>
      </c>
      <c r="R253" s="42" t="str">
        <f>IF($F253&gt;=R$2,"-",IF(IFERROR(VLOOKUP($G253,$U:$U,1,1),0)&gt;=R$2,"o","-"))</f>
        <v>-</v>
      </c>
      <c r="S253" s="12">
        <f>IF(L253="o",50000,0)+IF(M253="o",100000,0)+IF(N253="o",200000,0)+IF(O253="o",400000,0)+IF(P253="o",600000,0)+IF(Q253="o",1000000,0)+IF(R253="o",2000000,0)</f>
        <v>50000</v>
      </c>
    </row>
    <row r="254" spans="2:19">
      <c r="B254" s="9">
        <v>249</v>
      </c>
      <c r="C254" s="10" t="s">
        <v>33</v>
      </c>
      <c r="D254" s="10" t="s">
        <v>882</v>
      </c>
      <c r="E254" s="82">
        <v>41900330</v>
      </c>
      <c r="F254" s="85">
        <f>IFERROR(VLOOKUP(D254,'1월'!D:F,3,0),)</f>
        <v>0</v>
      </c>
      <c r="G254" s="58">
        <v>2</v>
      </c>
      <c r="H254" s="58"/>
      <c r="I254" s="58"/>
      <c r="J254" s="58"/>
      <c r="K254" s="81"/>
      <c r="L254" s="42" t="str">
        <f>IF($F254&gt;=L$2,"-",IF(IFERROR(VLOOKUP($G254,$U:$U,1,1),0)&gt;=L$2,"o","-"))</f>
        <v>o</v>
      </c>
      <c r="M254" s="42" t="str">
        <f>IF($F254&gt;=M$2,"-",IF(IFERROR(VLOOKUP($G254,$U:$U,1,1),0)&gt;=M$2,"o","-"))</f>
        <v>-</v>
      </c>
      <c r="N254" s="42" t="str">
        <f>IF($F254&gt;=N$2,"-",IF(IFERROR(VLOOKUP($G254,$U:$U,1,1),0)&gt;=N$2,"o","-"))</f>
        <v>-</v>
      </c>
      <c r="O254" s="42" t="str">
        <f>IF($F254&gt;=O$2,"-",IF(IFERROR(VLOOKUP($G254,$U:$U,1,1),0)&gt;=O$2,"o","-"))</f>
        <v>-</v>
      </c>
      <c r="P254" s="42" t="str">
        <f>IF($F254&gt;=P$2,"-",IF(IFERROR(VLOOKUP($G254,$U:$U,1,1),0)&gt;=P$2,"o","-"))</f>
        <v>-</v>
      </c>
      <c r="Q254" s="42" t="str">
        <f>IF($F254&gt;=Q$2,"-",IF(IFERROR(VLOOKUP($G254,$U:$U,1,1),0)&gt;=Q$2,"o","-"))</f>
        <v>-</v>
      </c>
      <c r="R254" s="42" t="str">
        <f>IF($F254&gt;=R$2,"-",IF(IFERROR(VLOOKUP($G254,$U:$U,1,1),0)&gt;=R$2,"o","-"))</f>
        <v>-</v>
      </c>
      <c r="S254" s="12">
        <f>IF(L254="o",50000,0)+IF(M254="o",100000,0)+IF(N254="o",200000,0)+IF(O254="o",400000,0)+IF(P254="o",600000,0)+IF(Q254="o",1000000,0)+IF(R254="o",2000000,0)</f>
        <v>50000</v>
      </c>
    </row>
    <row r="255" spans="2:19">
      <c r="B255" s="9">
        <v>250</v>
      </c>
      <c r="C255" s="10" t="s">
        <v>641</v>
      </c>
      <c r="D255" s="10" t="s">
        <v>883</v>
      </c>
      <c r="E255" s="82">
        <v>41505951</v>
      </c>
      <c r="F255" s="85">
        <f>IFERROR(VLOOKUP(D255,'1월'!D:F,3,0),)</f>
        <v>0</v>
      </c>
      <c r="G255" s="58">
        <v>2</v>
      </c>
      <c r="H255" s="58"/>
      <c r="I255" s="58"/>
      <c r="J255" s="58"/>
      <c r="K255" s="81"/>
      <c r="L255" s="42" t="str">
        <f>IF($F255&gt;=L$2,"-",IF(IFERROR(VLOOKUP($G255,$U:$U,1,1),0)&gt;=L$2,"o","-"))</f>
        <v>o</v>
      </c>
      <c r="M255" s="42" t="str">
        <f>IF($F255&gt;=M$2,"-",IF(IFERROR(VLOOKUP($G255,$U:$U,1,1),0)&gt;=M$2,"o","-"))</f>
        <v>-</v>
      </c>
      <c r="N255" s="42" t="str">
        <f>IF($F255&gt;=N$2,"-",IF(IFERROR(VLOOKUP($G255,$U:$U,1,1),0)&gt;=N$2,"o","-"))</f>
        <v>-</v>
      </c>
      <c r="O255" s="42" t="str">
        <f>IF($F255&gt;=O$2,"-",IF(IFERROR(VLOOKUP($G255,$U:$U,1,1),0)&gt;=O$2,"o","-"))</f>
        <v>-</v>
      </c>
      <c r="P255" s="42" t="str">
        <f>IF($F255&gt;=P$2,"-",IF(IFERROR(VLOOKUP($G255,$U:$U,1,1),0)&gt;=P$2,"o","-"))</f>
        <v>-</v>
      </c>
      <c r="Q255" s="42" t="str">
        <f>IF($F255&gt;=Q$2,"-",IF(IFERROR(VLOOKUP($G255,$U:$U,1,1),0)&gt;=Q$2,"o","-"))</f>
        <v>-</v>
      </c>
      <c r="R255" s="42" t="str">
        <f>IF($F255&gt;=R$2,"-",IF(IFERROR(VLOOKUP($G255,$U:$U,1,1),0)&gt;=R$2,"o","-"))</f>
        <v>-</v>
      </c>
      <c r="S255" s="12">
        <f>IF(L255="o",50000,0)+IF(M255="o",100000,0)+IF(N255="o",200000,0)+IF(O255="o",400000,0)+IF(P255="o",600000,0)+IF(Q255="o",1000000,0)+IF(R255="o",2000000,0)</f>
        <v>50000</v>
      </c>
    </row>
    <row r="256" spans="2:19">
      <c r="B256" s="9">
        <v>251</v>
      </c>
      <c r="C256" s="10" t="s">
        <v>642</v>
      </c>
      <c r="D256" s="10" t="s">
        <v>884</v>
      </c>
      <c r="E256" s="82">
        <v>31106892</v>
      </c>
      <c r="F256" s="85">
        <f>IFERROR(VLOOKUP(D256,'1월'!D:F,3,0),)</f>
        <v>0</v>
      </c>
      <c r="G256" s="58">
        <v>2</v>
      </c>
      <c r="H256" s="58"/>
      <c r="I256" s="58"/>
      <c r="J256" s="58"/>
      <c r="K256" s="81"/>
      <c r="L256" s="42" t="str">
        <f>IF($F256&gt;=L$2,"-",IF(IFERROR(VLOOKUP($G256,$U:$U,1,1),0)&gt;=L$2,"o","-"))</f>
        <v>o</v>
      </c>
      <c r="M256" s="42" t="str">
        <f>IF($F256&gt;=M$2,"-",IF(IFERROR(VLOOKUP($G256,$U:$U,1,1),0)&gt;=M$2,"o","-"))</f>
        <v>-</v>
      </c>
      <c r="N256" s="42" t="str">
        <f>IF($F256&gt;=N$2,"-",IF(IFERROR(VLOOKUP($G256,$U:$U,1,1),0)&gt;=N$2,"o","-"))</f>
        <v>-</v>
      </c>
      <c r="O256" s="42" t="str">
        <f>IF($F256&gt;=O$2,"-",IF(IFERROR(VLOOKUP($G256,$U:$U,1,1),0)&gt;=O$2,"o","-"))</f>
        <v>-</v>
      </c>
      <c r="P256" s="42" t="str">
        <f>IF($F256&gt;=P$2,"-",IF(IFERROR(VLOOKUP($G256,$U:$U,1,1),0)&gt;=P$2,"o","-"))</f>
        <v>-</v>
      </c>
      <c r="Q256" s="42" t="str">
        <f>IF($F256&gt;=Q$2,"-",IF(IFERROR(VLOOKUP($G256,$U:$U,1,1),0)&gt;=Q$2,"o","-"))</f>
        <v>-</v>
      </c>
      <c r="R256" s="42" t="str">
        <f>IF($F256&gt;=R$2,"-",IF(IFERROR(VLOOKUP($G256,$U:$U,1,1),0)&gt;=R$2,"o","-"))</f>
        <v>-</v>
      </c>
      <c r="S256" s="12">
        <f>IF(L256="o",50000,0)+IF(M256="o",100000,0)+IF(N256="o",200000,0)+IF(O256="o",400000,0)+IF(P256="o",600000,0)+IF(Q256="o",1000000,0)+IF(R256="o",2000000,0)</f>
        <v>50000</v>
      </c>
    </row>
    <row r="257" spans="2:19">
      <c r="B257" s="9">
        <v>252</v>
      </c>
      <c r="C257" s="10" t="s">
        <v>643</v>
      </c>
      <c r="D257" s="10" t="s">
        <v>885</v>
      </c>
      <c r="E257" s="82">
        <v>31808073</v>
      </c>
      <c r="F257" s="85">
        <f>IFERROR(VLOOKUP(D257,'1월'!D:F,3,0),)</f>
        <v>0</v>
      </c>
      <c r="G257" s="58">
        <v>2</v>
      </c>
      <c r="H257" s="58"/>
      <c r="I257" s="58"/>
      <c r="J257" s="58"/>
      <c r="K257" s="81"/>
      <c r="L257" s="42" t="str">
        <f>IF($F257&gt;=L$2,"-",IF(IFERROR(VLOOKUP($G257,$U:$U,1,1),0)&gt;=L$2,"o","-"))</f>
        <v>o</v>
      </c>
      <c r="M257" s="42" t="str">
        <f>IF($F257&gt;=M$2,"-",IF(IFERROR(VLOOKUP($G257,$U:$U,1,1),0)&gt;=M$2,"o","-"))</f>
        <v>-</v>
      </c>
      <c r="N257" s="42" t="str">
        <f>IF($F257&gt;=N$2,"-",IF(IFERROR(VLOOKUP($G257,$U:$U,1,1),0)&gt;=N$2,"o","-"))</f>
        <v>-</v>
      </c>
      <c r="O257" s="42" t="str">
        <f>IF($F257&gt;=O$2,"-",IF(IFERROR(VLOOKUP($G257,$U:$U,1,1),0)&gt;=O$2,"o","-"))</f>
        <v>-</v>
      </c>
      <c r="P257" s="42" t="str">
        <f>IF($F257&gt;=P$2,"-",IF(IFERROR(VLOOKUP($G257,$U:$U,1,1),0)&gt;=P$2,"o","-"))</f>
        <v>-</v>
      </c>
      <c r="Q257" s="42" t="str">
        <f>IF($F257&gt;=Q$2,"-",IF(IFERROR(VLOOKUP($G257,$U:$U,1,1),0)&gt;=Q$2,"o","-"))</f>
        <v>-</v>
      </c>
      <c r="R257" s="42" t="str">
        <f>IF($F257&gt;=R$2,"-",IF(IFERROR(VLOOKUP($G257,$U:$U,1,1),0)&gt;=R$2,"o","-"))</f>
        <v>-</v>
      </c>
      <c r="S257" s="12">
        <f>IF(L257="o",50000,0)+IF(M257="o",100000,0)+IF(N257="o",200000,0)+IF(O257="o",400000,0)+IF(P257="o",600000,0)+IF(Q257="o",1000000,0)+IF(R257="o",2000000,0)</f>
        <v>50000</v>
      </c>
    </row>
    <row r="258" spans="2:19">
      <c r="B258" s="9">
        <v>253</v>
      </c>
      <c r="C258" s="10" t="s">
        <v>644</v>
      </c>
      <c r="D258" s="10" t="s">
        <v>886</v>
      </c>
      <c r="E258" s="82">
        <v>31902834</v>
      </c>
      <c r="F258" s="85">
        <f>IFERROR(VLOOKUP(D258,'1월'!D:F,3,0),)</f>
        <v>0</v>
      </c>
      <c r="G258" s="58">
        <v>2</v>
      </c>
      <c r="H258" s="58"/>
      <c r="I258" s="58"/>
      <c r="J258" s="58"/>
      <c r="K258" s="81"/>
      <c r="L258" s="42" t="str">
        <f>IF($F258&gt;=L$2,"-",IF(IFERROR(VLOOKUP($G258,$U:$U,1,1),0)&gt;=L$2,"o","-"))</f>
        <v>o</v>
      </c>
      <c r="M258" s="42" t="str">
        <f>IF($F258&gt;=M$2,"-",IF(IFERROR(VLOOKUP($G258,$U:$U,1,1),0)&gt;=M$2,"o","-"))</f>
        <v>-</v>
      </c>
      <c r="N258" s="42" t="str">
        <f>IF($F258&gt;=N$2,"-",IF(IFERROR(VLOOKUP($G258,$U:$U,1,1),0)&gt;=N$2,"o","-"))</f>
        <v>-</v>
      </c>
      <c r="O258" s="42" t="str">
        <f>IF($F258&gt;=O$2,"-",IF(IFERROR(VLOOKUP($G258,$U:$U,1,1),0)&gt;=O$2,"o","-"))</f>
        <v>-</v>
      </c>
      <c r="P258" s="42" t="str">
        <f>IF($F258&gt;=P$2,"-",IF(IFERROR(VLOOKUP($G258,$U:$U,1,1),0)&gt;=P$2,"o","-"))</f>
        <v>-</v>
      </c>
      <c r="Q258" s="42" t="str">
        <f>IF($F258&gt;=Q$2,"-",IF(IFERROR(VLOOKUP($G258,$U:$U,1,1),0)&gt;=Q$2,"o","-"))</f>
        <v>-</v>
      </c>
      <c r="R258" s="42" t="str">
        <f>IF($F258&gt;=R$2,"-",IF(IFERROR(VLOOKUP($G258,$U:$U,1,1),0)&gt;=R$2,"o","-"))</f>
        <v>-</v>
      </c>
      <c r="S258" s="12">
        <f>IF(L258="o",50000,0)+IF(M258="o",100000,0)+IF(N258="o",200000,0)+IF(O258="o",400000,0)+IF(P258="o",600000,0)+IF(Q258="o",1000000,0)+IF(R258="o",2000000,0)</f>
        <v>50000</v>
      </c>
    </row>
    <row r="259" spans="2:19">
      <c r="B259" s="9">
        <v>254</v>
      </c>
      <c r="C259" s="10" t="s">
        <v>645</v>
      </c>
      <c r="D259" s="10" t="s">
        <v>887</v>
      </c>
      <c r="E259" s="82">
        <v>40801557</v>
      </c>
      <c r="F259" s="85">
        <f>IFERROR(VLOOKUP(D259,'1월'!D:F,3,0),)</f>
        <v>0</v>
      </c>
      <c r="G259" s="58">
        <v>2</v>
      </c>
      <c r="H259" s="58"/>
      <c r="I259" s="58"/>
      <c r="J259" s="58"/>
      <c r="K259" s="81"/>
      <c r="L259" s="42" t="str">
        <f>IF($F259&gt;=L$2,"-",IF(IFERROR(VLOOKUP($G259,$U:$U,1,1),0)&gt;=L$2,"o","-"))</f>
        <v>o</v>
      </c>
      <c r="M259" s="42" t="str">
        <f>IF($F259&gt;=M$2,"-",IF(IFERROR(VLOOKUP($G259,$U:$U,1,1),0)&gt;=M$2,"o","-"))</f>
        <v>-</v>
      </c>
      <c r="N259" s="42" t="str">
        <f>IF($F259&gt;=N$2,"-",IF(IFERROR(VLOOKUP($G259,$U:$U,1,1),0)&gt;=N$2,"o","-"))</f>
        <v>-</v>
      </c>
      <c r="O259" s="42" t="str">
        <f>IF($F259&gt;=O$2,"-",IF(IFERROR(VLOOKUP($G259,$U:$U,1,1),0)&gt;=O$2,"o","-"))</f>
        <v>-</v>
      </c>
      <c r="P259" s="42" t="str">
        <f>IF($F259&gt;=P$2,"-",IF(IFERROR(VLOOKUP($G259,$U:$U,1,1),0)&gt;=P$2,"o","-"))</f>
        <v>-</v>
      </c>
      <c r="Q259" s="42" t="str">
        <f>IF($F259&gt;=Q$2,"-",IF(IFERROR(VLOOKUP($G259,$U:$U,1,1),0)&gt;=Q$2,"o","-"))</f>
        <v>-</v>
      </c>
      <c r="R259" s="42" t="str">
        <f>IF($F259&gt;=R$2,"-",IF(IFERROR(VLOOKUP($G259,$U:$U,1,1),0)&gt;=R$2,"o","-"))</f>
        <v>-</v>
      </c>
      <c r="S259" s="12">
        <f>IF(L259="o",50000,0)+IF(M259="o",100000,0)+IF(N259="o",200000,0)+IF(O259="o",400000,0)+IF(P259="o",600000,0)+IF(Q259="o",1000000,0)+IF(R259="o",2000000,0)</f>
        <v>50000</v>
      </c>
    </row>
    <row r="260" spans="2:19">
      <c r="B260" s="9">
        <v>255</v>
      </c>
      <c r="C260" s="10" t="s">
        <v>646</v>
      </c>
      <c r="D260" s="10" t="s">
        <v>888</v>
      </c>
      <c r="E260" s="82">
        <v>32406645</v>
      </c>
      <c r="F260" s="85">
        <f>IFERROR(VLOOKUP(D260,'1월'!D:F,3,0),)</f>
        <v>0</v>
      </c>
      <c r="G260" s="58">
        <v>2</v>
      </c>
      <c r="H260" s="58"/>
      <c r="I260" s="58"/>
      <c r="J260" s="58"/>
      <c r="K260" s="81"/>
      <c r="L260" s="42" t="str">
        <f>IF($F260&gt;=L$2,"-",IF(IFERROR(VLOOKUP($G260,$U:$U,1,1),0)&gt;=L$2,"o","-"))</f>
        <v>o</v>
      </c>
      <c r="M260" s="42" t="str">
        <f>IF($F260&gt;=M$2,"-",IF(IFERROR(VLOOKUP($G260,$U:$U,1,1),0)&gt;=M$2,"o","-"))</f>
        <v>-</v>
      </c>
      <c r="N260" s="42" t="str">
        <f>IF($F260&gt;=N$2,"-",IF(IFERROR(VLOOKUP($G260,$U:$U,1,1),0)&gt;=N$2,"o","-"))</f>
        <v>-</v>
      </c>
      <c r="O260" s="42" t="str">
        <f>IF($F260&gt;=O$2,"-",IF(IFERROR(VLOOKUP($G260,$U:$U,1,1),0)&gt;=O$2,"o","-"))</f>
        <v>-</v>
      </c>
      <c r="P260" s="42" t="str">
        <f>IF($F260&gt;=P$2,"-",IF(IFERROR(VLOOKUP($G260,$U:$U,1,1),0)&gt;=P$2,"o","-"))</f>
        <v>-</v>
      </c>
      <c r="Q260" s="42" t="str">
        <f>IF($F260&gt;=Q$2,"-",IF(IFERROR(VLOOKUP($G260,$U:$U,1,1),0)&gt;=Q$2,"o","-"))</f>
        <v>-</v>
      </c>
      <c r="R260" s="42" t="str">
        <f>IF($F260&gt;=R$2,"-",IF(IFERROR(VLOOKUP($G260,$U:$U,1,1),0)&gt;=R$2,"o","-"))</f>
        <v>-</v>
      </c>
      <c r="S260" s="12">
        <f>IF(L260="o",50000,0)+IF(M260="o",100000,0)+IF(N260="o",200000,0)+IF(O260="o",400000,0)+IF(P260="o",600000,0)+IF(Q260="o",1000000,0)+IF(R260="o",2000000,0)</f>
        <v>50000</v>
      </c>
    </row>
    <row r="261" spans="2:19">
      <c r="B261" s="9">
        <v>256</v>
      </c>
      <c r="C261" s="10" t="s">
        <v>647</v>
      </c>
      <c r="D261" s="10" t="s">
        <v>889</v>
      </c>
      <c r="E261" s="82">
        <v>42302153</v>
      </c>
      <c r="F261" s="85">
        <f>IFERROR(VLOOKUP(D261,'1월'!D:F,3,0),)</f>
        <v>0</v>
      </c>
      <c r="G261" s="58">
        <v>2</v>
      </c>
      <c r="H261" s="58"/>
      <c r="I261" s="58"/>
      <c r="J261" s="58"/>
      <c r="K261" s="81"/>
      <c r="L261" s="42" t="str">
        <f>IF($F261&gt;=L$2,"-",IF(IFERROR(VLOOKUP($G261,$U:$U,1,1),0)&gt;=L$2,"o","-"))</f>
        <v>o</v>
      </c>
      <c r="M261" s="42" t="str">
        <f>IF($F261&gt;=M$2,"-",IF(IFERROR(VLOOKUP($G261,$U:$U,1,1),0)&gt;=M$2,"o","-"))</f>
        <v>-</v>
      </c>
      <c r="N261" s="42" t="str">
        <f>IF($F261&gt;=N$2,"-",IF(IFERROR(VLOOKUP($G261,$U:$U,1,1),0)&gt;=N$2,"o","-"))</f>
        <v>-</v>
      </c>
      <c r="O261" s="42" t="str">
        <f>IF($F261&gt;=O$2,"-",IF(IFERROR(VLOOKUP($G261,$U:$U,1,1),0)&gt;=O$2,"o","-"))</f>
        <v>-</v>
      </c>
      <c r="P261" s="42" t="str">
        <f>IF($F261&gt;=P$2,"-",IF(IFERROR(VLOOKUP($G261,$U:$U,1,1),0)&gt;=P$2,"o","-"))</f>
        <v>-</v>
      </c>
      <c r="Q261" s="42" t="str">
        <f>IF($F261&gt;=Q$2,"-",IF(IFERROR(VLOOKUP($G261,$U:$U,1,1),0)&gt;=Q$2,"o","-"))</f>
        <v>-</v>
      </c>
      <c r="R261" s="42" t="str">
        <f>IF($F261&gt;=R$2,"-",IF(IFERROR(VLOOKUP($G261,$U:$U,1,1),0)&gt;=R$2,"o","-"))</f>
        <v>-</v>
      </c>
      <c r="S261" s="12">
        <f>IF(L261="o",50000,0)+IF(M261="o",100000,0)+IF(N261="o",200000,0)+IF(O261="o",400000,0)+IF(P261="o",600000,0)+IF(Q261="o",1000000,0)+IF(R261="o",2000000,0)</f>
        <v>50000</v>
      </c>
    </row>
    <row r="262" spans="2:19">
      <c r="B262" s="9">
        <v>257</v>
      </c>
      <c r="C262" s="10" t="s">
        <v>648</v>
      </c>
      <c r="D262" s="10" t="s">
        <v>890</v>
      </c>
      <c r="E262" s="82">
        <v>42302540</v>
      </c>
      <c r="F262" s="85">
        <f>IFERROR(VLOOKUP(D262,'1월'!D:F,3,0),)</f>
        <v>0</v>
      </c>
      <c r="G262" s="58">
        <v>2</v>
      </c>
      <c r="H262" s="58"/>
      <c r="I262" s="58"/>
      <c r="J262" s="58"/>
      <c r="K262" s="81"/>
      <c r="L262" s="42" t="str">
        <f>IF($F262&gt;=L$2,"-",IF(IFERROR(VLOOKUP($G262,$U:$U,1,1),0)&gt;=L$2,"o","-"))</f>
        <v>o</v>
      </c>
      <c r="M262" s="42" t="str">
        <f>IF($F262&gt;=M$2,"-",IF(IFERROR(VLOOKUP($G262,$U:$U,1,1),0)&gt;=M$2,"o","-"))</f>
        <v>-</v>
      </c>
      <c r="N262" s="42" t="str">
        <f>IF($F262&gt;=N$2,"-",IF(IFERROR(VLOOKUP($G262,$U:$U,1,1),0)&gt;=N$2,"o","-"))</f>
        <v>-</v>
      </c>
      <c r="O262" s="42" t="str">
        <f>IF($F262&gt;=O$2,"-",IF(IFERROR(VLOOKUP($G262,$U:$U,1,1),0)&gt;=O$2,"o","-"))</f>
        <v>-</v>
      </c>
      <c r="P262" s="42" t="str">
        <f>IF($F262&gt;=P$2,"-",IF(IFERROR(VLOOKUP($G262,$U:$U,1,1),0)&gt;=P$2,"o","-"))</f>
        <v>-</v>
      </c>
      <c r="Q262" s="42" t="str">
        <f>IF($F262&gt;=Q$2,"-",IF(IFERROR(VLOOKUP($G262,$U:$U,1,1),0)&gt;=Q$2,"o","-"))</f>
        <v>-</v>
      </c>
      <c r="R262" s="42" t="str">
        <f>IF($F262&gt;=R$2,"-",IF(IFERROR(VLOOKUP($G262,$U:$U,1,1),0)&gt;=R$2,"o","-"))</f>
        <v>-</v>
      </c>
      <c r="S262" s="12">
        <f>IF(L262="o",50000,0)+IF(M262="o",100000,0)+IF(N262="o",200000,0)+IF(O262="o",400000,0)+IF(P262="o",600000,0)+IF(Q262="o",1000000,0)+IF(R262="o",2000000,0)</f>
        <v>50000</v>
      </c>
    </row>
    <row r="263" spans="2:19">
      <c r="B263" s="9">
        <v>258</v>
      </c>
      <c r="C263" s="10" t="s">
        <v>649</v>
      </c>
      <c r="D263" s="10" t="s">
        <v>891</v>
      </c>
      <c r="E263" s="82">
        <v>41403981</v>
      </c>
      <c r="F263" s="85">
        <f>IFERROR(VLOOKUP(D263,'1월'!D:F,3,0),)</f>
        <v>0</v>
      </c>
      <c r="G263" s="58">
        <v>2</v>
      </c>
      <c r="H263" s="58"/>
      <c r="I263" s="58"/>
      <c r="J263" s="58"/>
      <c r="K263" s="81"/>
      <c r="L263" s="42" t="str">
        <f>IF($F263&gt;=L$2,"-",IF(IFERROR(VLOOKUP($G263,$U:$U,1,1),0)&gt;=L$2,"o","-"))</f>
        <v>o</v>
      </c>
      <c r="M263" s="42" t="str">
        <f>IF($F263&gt;=M$2,"-",IF(IFERROR(VLOOKUP($G263,$U:$U,1,1),0)&gt;=M$2,"o","-"))</f>
        <v>-</v>
      </c>
      <c r="N263" s="42" t="str">
        <f>IF($F263&gt;=N$2,"-",IF(IFERROR(VLOOKUP($G263,$U:$U,1,1),0)&gt;=N$2,"o","-"))</f>
        <v>-</v>
      </c>
      <c r="O263" s="42" t="str">
        <f>IF($F263&gt;=O$2,"-",IF(IFERROR(VLOOKUP($G263,$U:$U,1,1),0)&gt;=O$2,"o","-"))</f>
        <v>-</v>
      </c>
      <c r="P263" s="42" t="str">
        <f>IF($F263&gt;=P$2,"-",IF(IFERROR(VLOOKUP($G263,$U:$U,1,1),0)&gt;=P$2,"o","-"))</f>
        <v>-</v>
      </c>
      <c r="Q263" s="42" t="str">
        <f>IF($F263&gt;=Q$2,"-",IF(IFERROR(VLOOKUP($G263,$U:$U,1,1),0)&gt;=Q$2,"o","-"))</f>
        <v>-</v>
      </c>
      <c r="R263" s="42" t="str">
        <f>IF($F263&gt;=R$2,"-",IF(IFERROR(VLOOKUP($G263,$U:$U,1,1),0)&gt;=R$2,"o","-"))</f>
        <v>-</v>
      </c>
      <c r="S263" s="12">
        <f>IF(L263="o",50000,0)+IF(M263="o",100000,0)+IF(N263="o",200000,0)+IF(O263="o",400000,0)+IF(P263="o",600000,0)+IF(Q263="o",1000000,0)+IF(R263="o",2000000,0)</f>
        <v>50000</v>
      </c>
    </row>
    <row r="264" spans="2:19">
      <c r="B264" s="9">
        <v>259</v>
      </c>
      <c r="C264" s="10" t="s">
        <v>650</v>
      </c>
      <c r="D264" s="10" t="s">
        <v>892</v>
      </c>
      <c r="E264" s="82">
        <v>32500370</v>
      </c>
      <c r="F264" s="85">
        <f>IFERROR(VLOOKUP(D264,'1월'!D:F,3,0),)</f>
        <v>0</v>
      </c>
      <c r="G264" s="58">
        <v>2</v>
      </c>
      <c r="H264" s="58"/>
      <c r="I264" s="58"/>
      <c r="J264" s="58"/>
      <c r="K264" s="81"/>
      <c r="L264" s="42" t="str">
        <f>IF($F264&gt;=L$2,"-",IF(IFERROR(VLOOKUP($G264,$U:$U,1,1),0)&gt;=L$2,"o","-"))</f>
        <v>o</v>
      </c>
      <c r="M264" s="42" t="str">
        <f>IF($F264&gt;=M$2,"-",IF(IFERROR(VLOOKUP($G264,$U:$U,1,1),0)&gt;=M$2,"o","-"))</f>
        <v>-</v>
      </c>
      <c r="N264" s="42" t="str">
        <f>IF($F264&gt;=N$2,"-",IF(IFERROR(VLOOKUP($G264,$U:$U,1,1),0)&gt;=N$2,"o","-"))</f>
        <v>-</v>
      </c>
      <c r="O264" s="42" t="str">
        <f>IF($F264&gt;=O$2,"-",IF(IFERROR(VLOOKUP($G264,$U:$U,1,1),0)&gt;=O$2,"o","-"))</f>
        <v>-</v>
      </c>
      <c r="P264" s="42" t="str">
        <f>IF($F264&gt;=P$2,"-",IF(IFERROR(VLOOKUP($G264,$U:$U,1,1),0)&gt;=P$2,"o","-"))</f>
        <v>-</v>
      </c>
      <c r="Q264" s="42" t="str">
        <f>IF($F264&gt;=Q$2,"-",IF(IFERROR(VLOOKUP($G264,$U:$U,1,1),0)&gt;=Q$2,"o","-"))</f>
        <v>-</v>
      </c>
      <c r="R264" s="42" t="str">
        <f>IF($F264&gt;=R$2,"-",IF(IFERROR(VLOOKUP($G264,$U:$U,1,1),0)&gt;=R$2,"o","-"))</f>
        <v>-</v>
      </c>
      <c r="S264" s="12">
        <f>IF(L264="o",50000,0)+IF(M264="o",100000,0)+IF(N264="o",200000,0)+IF(O264="o",400000,0)+IF(P264="o",600000,0)+IF(Q264="o",1000000,0)+IF(R264="o",2000000,0)</f>
        <v>50000</v>
      </c>
    </row>
    <row r="265" spans="2:19">
      <c r="B265" s="9">
        <v>260</v>
      </c>
      <c r="C265" s="10" t="s">
        <v>651</v>
      </c>
      <c r="D265" s="10" t="s">
        <v>893</v>
      </c>
      <c r="E265" s="82">
        <v>40709154</v>
      </c>
      <c r="F265" s="85">
        <f>IFERROR(VLOOKUP(D265,'1월'!D:F,3,0),)</f>
        <v>0</v>
      </c>
      <c r="G265" s="58">
        <v>2</v>
      </c>
      <c r="H265" s="58"/>
      <c r="I265" s="58"/>
      <c r="J265" s="58"/>
      <c r="K265" s="81"/>
      <c r="L265" s="42" t="str">
        <f>IF($F265&gt;=L$2,"-",IF(IFERROR(VLOOKUP($G265,$U:$U,1,1),0)&gt;=L$2,"o","-"))</f>
        <v>o</v>
      </c>
      <c r="M265" s="42" t="str">
        <f>IF($F265&gt;=M$2,"-",IF(IFERROR(VLOOKUP($G265,$U:$U,1,1),0)&gt;=M$2,"o","-"))</f>
        <v>-</v>
      </c>
      <c r="N265" s="42" t="str">
        <f>IF($F265&gt;=N$2,"-",IF(IFERROR(VLOOKUP($G265,$U:$U,1,1),0)&gt;=N$2,"o","-"))</f>
        <v>-</v>
      </c>
      <c r="O265" s="42" t="str">
        <f>IF($F265&gt;=O$2,"-",IF(IFERROR(VLOOKUP($G265,$U:$U,1,1),0)&gt;=O$2,"o","-"))</f>
        <v>-</v>
      </c>
      <c r="P265" s="42" t="str">
        <f>IF($F265&gt;=P$2,"-",IF(IFERROR(VLOOKUP($G265,$U:$U,1,1),0)&gt;=P$2,"o","-"))</f>
        <v>-</v>
      </c>
      <c r="Q265" s="42" t="str">
        <f>IF($F265&gt;=Q$2,"-",IF(IFERROR(VLOOKUP($G265,$U:$U,1,1),0)&gt;=Q$2,"o","-"))</f>
        <v>-</v>
      </c>
      <c r="R265" s="42" t="str">
        <f>IF($F265&gt;=R$2,"-",IF(IFERROR(VLOOKUP($G265,$U:$U,1,1),0)&gt;=R$2,"o","-"))</f>
        <v>-</v>
      </c>
      <c r="S265" s="12">
        <f>IF(L265="o",50000,0)+IF(M265="o",100000,0)+IF(N265="o",200000,0)+IF(O265="o",400000,0)+IF(P265="o",600000,0)+IF(Q265="o",1000000,0)+IF(R265="o",2000000,0)</f>
        <v>50000</v>
      </c>
    </row>
    <row r="266" spans="2:19">
      <c r="B266" s="9">
        <v>261</v>
      </c>
      <c r="C266" s="10" t="s">
        <v>652</v>
      </c>
      <c r="D266" s="10" t="s">
        <v>894</v>
      </c>
      <c r="E266" s="82">
        <v>40733760</v>
      </c>
      <c r="F266" s="85">
        <f>IFERROR(VLOOKUP(D266,'1월'!D:F,3,0),)</f>
        <v>0</v>
      </c>
      <c r="G266" s="58">
        <v>2</v>
      </c>
      <c r="H266" s="58"/>
      <c r="I266" s="58"/>
      <c r="J266" s="58"/>
      <c r="K266" s="81"/>
      <c r="L266" s="42" t="str">
        <f>IF($F266&gt;=L$2,"-",IF(IFERROR(VLOOKUP($G266,$U:$U,1,1),0)&gt;=L$2,"o","-"))</f>
        <v>o</v>
      </c>
      <c r="M266" s="42" t="str">
        <f>IF($F266&gt;=M$2,"-",IF(IFERROR(VLOOKUP($G266,$U:$U,1,1),0)&gt;=M$2,"o","-"))</f>
        <v>-</v>
      </c>
      <c r="N266" s="42" t="str">
        <f>IF($F266&gt;=N$2,"-",IF(IFERROR(VLOOKUP($G266,$U:$U,1,1),0)&gt;=N$2,"o","-"))</f>
        <v>-</v>
      </c>
      <c r="O266" s="42" t="str">
        <f>IF($F266&gt;=O$2,"-",IF(IFERROR(VLOOKUP($G266,$U:$U,1,1),0)&gt;=O$2,"o","-"))</f>
        <v>-</v>
      </c>
      <c r="P266" s="42" t="str">
        <f>IF($F266&gt;=P$2,"-",IF(IFERROR(VLOOKUP($G266,$U:$U,1,1),0)&gt;=P$2,"o","-"))</f>
        <v>-</v>
      </c>
      <c r="Q266" s="42" t="str">
        <f>IF($F266&gt;=Q$2,"-",IF(IFERROR(VLOOKUP($G266,$U:$U,1,1),0)&gt;=Q$2,"o","-"))</f>
        <v>-</v>
      </c>
      <c r="R266" s="42" t="str">
        <f>IF($F266&gt;=R$2,"-",IF(IFERROR(VLOOKUP($G266,$U:$U,1,1),0)&gt;=R$2,"o","-"))</f>
        <v>-</v>
      </c>
      <c r="S266" s="12">
        <f>IF(L266="o",50000,0)+IF(M266="o",100000,0)+IF(N266="o",200000,0)+IF(O266="o",400000,0)+IF(P266="o",600000,0)+IF(Q266="o",1000000,0)+IF(R266="o",2000000,0)</f>
        <v>50000</v>
      </c>
    </row>
    <row r="267" spans="2:19">
      <c r="B267" s="9">
        <v>262</v>
      </c>
      <c r="C267" s="10" t="s">
        <v>653</v>
      </c>
      <c r="D267" s="10" t="s">
        <v>895</v>
      </c>
      <c r="E267" s="82">
        <v>41502684</v>
      </c>
      <c r="F267" s="85">
        <f>IFERROR(VLOOKUP(D267,'1월'!D:F,3,0),)</f>
        <v>0</v>
      </c>
      <c r="G267" s="58">
        <v>2</v>
      </c>
      <c r="H267" s="58"/>
      <c r="I267" s="58"/>
      <c r="J267" s="58"/>
      <c r="K267" s="81"/>
      <c r="L267" s="42" t="str">
        <f>IF($F267&gt;=L$2,"-",IF(IFERROR(VLOOKUP($G267,$U:$U,1,1),0)&gt;=L$2,"o","-"))</f>
        <v>o</v>
      </c>
      <c r="M267" s="42" t="str">
        <f>IF($F267&gt;=M$2,"-",IF(IFERROR(VLOOKUP($G267,$U:$U,1,1),0)&gt;=M$2,"o","-"))</f>
        <v>-</v>
      </c>
      <c r="N267" s="42" t="str">
        <f>IF($F267&gt;=N$2,"-",IF(IFERROR(VLOOKUP($G267,$U:$U,1,1),0)&gt;=N$2,"o","-"))</f>
        <v>-</v>
      </c>
      <c r="O267" s="42" t="str">
        <f>IF($F267&gt;=O$2,"-",IF(IFERROR(VLOOKUP($G267,$U:$U,1,1),0)&gt;=O$2,"o","-"))</f>
        <v>-</v>
      </c>
      <c r="P267" s="42" t="str">
        <f>IF($F267&gt;=P$2,"-",IF(IFERROR(VLOOKUP($G267,$U:$U,1,1),0)&gt;=P$2,"o","-"))</f>
        <v>-</v>
      </c>
      <c r="Q267" s="42" t="str">
        <f>IF($F267&gt;=Q$2,"-",IF(IFERROR(VLOOKUP($G267,$U:$U,1,1),0)&gt;=Q$2,"o","-"))</f>
        <v>-</v>
      </c>
      <c r="R267" s="42" t="str">
        <f>IF($F267&gt;=R$2,"-",IF(IFERROR(VLOOKUP($G267,$U:$U,1,1),0)&gt;=R$2,"o","-"))</f>
        <v>-</v>
      </c>
      <c r="S267" s="12">
        <f>IF(L267="o",50000,0)+IF(M267="o",100000,0)+IF(N267="o",200000,0)+IF(O267="o",400000,0)+IF(P267="o",600000,0)+IF(Q267="o",1000000,0)+IF(R267="o",2000000,0)</f>
        <v>50000</v>
      </c>
    </row>
    <row r="268" spans="2:19">
      <c r="B268" s="9">
        <v>263</v>
      </c>
      <c r="C268" s="10" t="s">
        <v>554</v>
      </c>
      <c r="D268" s="10" t="s">
        <v>896</v>
      </c>
      <c r="E268" s="82">
        <v>31400390</v>
      </c>
      <c r="F268" s="85">
        <f>IFERROR(VLOOKUP(D268,'1월'!D:F,3,0),)</f>
        <v>0</v>
      </c>
      <c r="G268" s="58">
        <v>2</v>
      </c>
      <c r="H268" s="58"/>
      <c r="I268" s="58"/>
      <c r="J268" s="58"/>
      <c r="K268" s="81"/>
      <c r="L268" s="42" t="str">
        <f>IF($F268&gt;=L$2,"-",IF(IFERROR(VLOOKUP($G268,$U:$U,1,1),0)&gt;=L$2,"o","-"))</f>
        <v>o</v>
      </c>
      <c r="M268" s="42" t="str">
        <f>IF($F268&gt;=M$2,"-",IF(IFERROR(VLOOKUP($G268,$U:$U,1,1),0)&gt;=M$2,"o","-"))</f>
        <v>-</v>
      </c>
      <c r="N268" s="42" t="str">
        <f>IF($F268&gt;=N$2,"-",IF(IFERROR(VLOOKUP($G268,$U:$U,1,1),0)&gt;=N$2,"o","-"))</f>
        <v>-</v>
      </c>
      <c r="O268" s="42" t="str">
        <f>IF($F268&gt;=O$2,"-",IF(IFERROR(VLOOKUP($G268,$U:$U,1,1),0)&gt;=O$2,"o","-"))</f>
        <v>-</v>
      </c>
      <c r="P268" s="42" t="str">
        <f>IF($F268&gt;=P$2,"-",IF(IFERROR(VLOOKUP($G268,$U:$U,1,1),0)&gt;=P$2,"o","-"))</f>
        <v>-</v>
      </c>
      <c r="Q268" s="42" t="str">
        <f>IF($F268&gt;=Q$2,"-",IF(IFERROR(VLOOKUP($G268,$U:$U,1,1),0)&gt;=Q$2,"o","-"))</f>
        <v>-</v>
      </c>
      <c r="R268" s="42" t="str">
        <f>IF($F268&gt;=R$2,"-",IF(IFERROR(VLOOKUP($G268,$U:$U,1,1),0)&gt;=R$2,"o","-"))</f>
        <v>-</v>
      </c>
      <c r="S268" s="12">
        <f>IF(L268="o",50000,0)+IF(M268="o",100000,0)+IF(N268="o",200000,0)+IF(O268="o",400000,0)+IF(P268="o",600000,0)+IF(Q268="o",1000000,0)+IF(R268="o",2000000,0)</f>
        <v>50000</v>
      </c>
    </row>
    <row r="269" spans="2:19">
      <c r="B269" s="9">
        <v>264</v>
      </c>
      <c r="C269" s="10" t="s">
        <v>654</v>
      </c>
      <c r="D269" s="10" t="s">
        <v>897</v>
      </c>
      <c r="E269" s="82">
        <v>41900475</v>
      </c>
      <c r="F269" s="85">
        <f>IFERROR(VLOOKUP(D269,'1월'!D:F,3,0),)</f>
        <v>0</v>
      </c>
      <c r="G269" s="58">
        <v>2</v>
      </c>
      <c r="H269" s="58"/>
      <c r="I269" s="58"/>
      <c r="J269" s="58"/>
      <c r="K269" s="81"/>
      <c r="L269" s="42" t="str">
        <f>IF($F269&gt;=L$2,"-",IF(IFERROR(VLOOKUP($G269,$U:$U,1,1),0)&gt;=L$2,"o","-"))</f>
        <v>o</v>
      </c>
      <c r="M269" s="42" t="str">
        <f>IF($F269&gt;=M$2,"-",IF(IFERROR(VLOOKUP($G269,$U:$U,1,1),0)&gt;=M$2,"o","-"))</f>
        <v>-</v>
      </c>
      <c r="N269" s="42" t="str">
        <f>IF($F269&gt;=N$2,"-",IF(IFERROR(VLOOKUP($G269,$U:$U,1,1),0)&gt;=N$2,"o","-"))</f>
        <v>-</v>
      </c>
      <c r="O269" s="42" t="str">
        <f>IF($F269&gt;=O$2,"-",IF(IFERROR(VLOOKUP($G269,$U:$U,1,1),0)&gt;=O$2,"o","-"))</f>
        <v>-</v>
      </c>
      <c r="P269" s="42" t="str">
        <f>IF($F269&gt;=P$2,"-",IF(IFERROR(VLOOKUP($G269,$U:$U,1,1),0)&gt;=P$2,"o","-"))</f>
        <v>-</v>
      </c>
      <c r="Q269" s="42" t="str">
        <f>IF($F269&gt;=Q$2,"-",IF(IFERROR(VLOOKUP($G269,$U:$U,1,1),0)&gt;=Q$2,"o","-"))</f>
        <v>-</v>
      </c>
      <c r="R269" s="42" t="str">
        <f>IF($F269&gt;=R$2,"-",IF(IFERROR(VLOOKUP($G269,$U:$U,1,1),0)&gt;=R$2,"o","-"))</f>
        <v>-</v>
      </c>
      <c r="S269" s="12">
        <f>IF(L269="o",50000,0)+IF(M269="o",100000,0)+IF(N269="o",200000,0)+IF(O269="o",400000,0)+IF(P269="o",600000,0)+IF(Q269="o",1000000,0)+IF(R269="o",2000000,0)</f>
        <v>50000</v>
      </c>
    </row>
    <row r="270" spans="2:19">
      <c r="B270" s="9">
        <v>265</v>
      </c>
      <c r="C270" s="10" t="s">
        <v>655</v>
      </c>
      <c r="D270" s="10" t="s">
        <v>898</v>
      </c>
      <c r="E270" s="82">
        <v>42404114</v>
      </c>
      <c r="F270" s="85">
        <f>IFERROR(VLOOKUP(D270,'1월'!D:F,3,0),)</f>
        <v>0</v>
      </c>
      <c r="G270" s="58">
        <v>2</v>
      </c>
      <c r="H270" s="58"/>
      <c r="I270" s="58"/>
      <c r="J270" s="58"/>
      <c r="K270" s="81"/>
      <c r="L270" s="42" t="str">
        <f>IF($F270&gt;=L$2,"-",IF(IFERROR(VLOOKUP($G270,$U:$U,1,1),0)&gt;=L$2,"o","-"))</f>
        <v>o</v>
      </c>
      <c r="M270" s="42" t="str">
        <f>IF($F270&gt;=M$2,"-",IF(IFERROR(VLOOKUP($G270,$U:$U,1,1),0)&gt;=M$2,"o","-"))</f>
        <v>-</v>
      </c>
      <c r="N270" s="42" t="str">
        <f>IF($F270&gt;=N$2,"-",IF(IFERROR(VLOOKUP($G270,$U:$U,1,1),0)&gt;=N$2,"o","-"))</f>
        <v>-</v>
      </c>
      <c r="O270" s="42" t="str">
        <f>IF($F270&gt;=O$2,"-",IF(IFERROR(VLOOKUP($G270,$U:$U,1,1),0)&gt;=O$2,"o","-"))</f>
        <v>-</v>
      </c>
      <c r="P270" s="42" t="str">
        <f>IF($F270&gt;=P$2,"-",IF(IFERROR(VLOOKUP($G270,$U:$U,1,1),0)&gt;=P$2,"o","-"))</f>
        <v>-</v>
      </c>
      <c r="Q270" s="42" t="str">
        <f>IF($F270&gt;=Q$2,"-",IF(IFERROR(VLOOKUP($G270,$U:$U,1,1),0)&gt;=Q$2,"o","-"))</f>
        <v>-</v>
      </c>
      <c r="R270" s="42" t="str">
        <f>IF($F270&gt;=R$2,"-",IF(IFERROR(VLOOKUP($G270,$U:$U,1,1),0)&gt;=R$2,"o","-"))</f>
        <v>-</v>
      </c>
      <c r="S270" s="12">
        <f>IF(L270="o",50000,0)+IF(M270="o",100000,0)+IF(N270="o",200000,0)+IF(O270="o",400000,0)+IF(P270="o",600000,0)+IF(Q270="o",1000000,0)+IF(R270="o",2000000,0)</f>
        <v>50000</v>
      </c>
    </row>
    <row r="271" spans="2:19">
      <c r="B271" s="9">
        <v>266</v>
      </c>
      <c r="C271" s="10" t="s">
        <v>656</v>
      </c>
      <c r="D271" s="10" t="s">
        <v>899</v>
      </c>
      <c r="E271" s="82">
        <v>40736901</v>
      </c>
      <c r="F271" s="85">
        <f>IFERROR(VLOOKUP(D271,'1월'!D:F,3,0),)</f>
        <v>0</v>
      </c>
      <c r="G271" s="58">
        <v>2</v>
      </c>
      <c r="H271" s="58"/>
      <c r="I271" s="58"/>
      <c r="J271" s="58"/>
      <c r="K271" s="81"/>
      <c r="L271" s="42" t="str">
        <f>IF($F271&gt;=L$2,"-",IF(IFERROR(VLOOKUP($G271,$U:$U,1,1),0)&gt;=L$2,"o","-"))</f>
        <v>o</v>
      </c>
      <c r="M271" s="42" t="str">
        <f>IF($F271&gt;=M$2,"-",IF(IFERROR(VLOOKUP($G271,$U:$U,1,1),0)&gt;=M$2,"o","-"))</f>
        <v>-</v>
      </c>
      <c r="N271" s="42" t="str">
        <f>IF($F271&gt;=N$2,"-",IF(IFERROR(VLOOKUP($G271,$U:$U,1,1),0)&gt;=N$2,"o","-"))</f>
        <v>-</v>
      </c>
      <c r="O271" s="42" t="str">
        <f>IF($F271&gt;=O$2,"-",IF(IFERROR(VLOOKUP($G271,$U:$U,1,1),0)&gt;=O$2,"o","-"))</f>
        <v>-</v>
      </c>
      <c r="P271" s="42" t="str">
        <f>IF($F271&gt;=P$2,"-",IF(IFERROR(VLOOKUP($G271,$U:$U,1,1),0)&gt;=P$2,"o","-"))</f>
        <v>-</v>
      </c>
      <c r="Q271" s="42" t="str">
        <f>IF($F271&gt;=Q$2,"-",IF(IFERROR(VLOOKUP($G271,$U:$U,1,1),0)&gt;=Q$2,"o","-"))</f>
        <v>-</v>
      </c>
      <c r="R271" s="42" t="str">
        <f>IF($F271&gt;=R$2,"-",IF(IFERROR(VLOOKUP($G271,$U:$U,1,1),0)&gt;=R$2,"o","-"))</f>
        <v>-</v>
      </c>
      <c r="S271" s="12">
        <f>IF(L271="o",50000,0)+IF(M271="o",100000,0)+IF(N271="o",200000,0)+IF(O271="o",400000,0)+IF(P271="o",600000,0)+IF(Q271="o",1000000,0)+IF(R271="o",2000000,0)</f>
        <v>50000</v>
      </c>
    </row>
    <row r="272" spans="2:19">
      <c r="B272" s="9">
        <v>267</v>
      </c>
      <c r="C272" s="10" t="s">
        <v>657</v>
      </c>
      <c r="D272" s="10" t="s">
        <v>900</v>
      </c>
      <c r="E272" s="82">
        <v>41306349</v>
      </c>
      <c r="F272" s="85">
        <f>IFERROR(VLOOKUP(D272,'1월'!D:F,3,0),)</f>
        <v>0</v>
      </c>
      <c r="G272" s="58">
        <v>2</v>
      </c>
      <c r="H272" s="58"/>
      <c r="I272" s="58"/>
      <c r="J272" s="58"/>
      <c r="K272" s="81"/>
      <c r="L272" s="42" t="str">
        <f>IF($F272&gt;=L$2,"-",IF(IFERROR(VLOOKUP($G272,$U:$U,1,1),0)&gt;=L$2,"o","-"))</f>
        <v>o</v>
      </c>
      <c r="M272" s="42" t="str">
        <f>IF($F272&gt;=M$2,"-",IF(IFERROR(VLOOKUP($G272,$U:$U,1,1),0)&gt;=M$2,"o","-"))</f>
        <v>-</v>
      </c>
      <c r="N272" s="42" t="str">
        <f>IF($F272&gt;=N$2,"-",IF(IFERROR(VLOOKUP($G272,$U:$U,1,1),0)&gt;=N$2,"o","-"))</f>
        <v>-</v>
      </c>
      <c r="O272" s="42" t="str">
        <f>IF($F272&gt;=O$2,"-",IF(IFERROR(VLOOKUP($G272,$U:$U,1,1),0)&gt;=O$2,"o","-"))</f>
        <v>-</v>
      </c>
      <c r="P272" s="42" t="str">
        <f>IF($F272&gt;=P$2,"-",IF(IFERROR(VLOOKUP($G272,$U:$U,1,1),0)&gt;=P$2,"o","-"))</f>
        <v>-</v>
      </c>
      <c r="Q272" s="42" t="str">
        <f>IF($F272&gt;=Q$2,"-",IF(IFERROR(VLOOKUP($G272,$U:$U,1,1),0)&gt;=Q$2,"o","-"))</f>
        <v>-</v>
      </c>
      <c r="R272" s="42" t="str">
        <f>IF($F272&gt;=R$2,"-",IF(IFERROR(VLOOKUP($G272,$U:$U,1,1),0)&gt;=R$2,"o","-"))</f>
        <v>-</v>
      </c>
      <c r="S272" s="12">
        <f>IF(L272="o",50000,0)+IF(M272="o",100000,0)+IF(N272="o",200000,0)+IF(O272="o",400000,0)+IF(P272="o",600000,0)+IF(Q272="o",1000000,0)+IF(R272="o",2000000,0)</f>
        <v>50000</v>
      </c>
    </row>
    <row r="273" spans="2:19">
      <c r="B273" s="9">
        <v>268</v>
      </c>
      <c r="C273" s="10" t="s">
        <v>480</v>
      </c>
      <c r="D273" s="10" t="s">
        <v>901</v>
      </c>
      <c r="E273" s="82">
        <v>31302344</v>
      </c>
      <c r="F273" s="85">
        <f>IFERROR(VLOOKUP(D273,'1월'!D:F,3,0),)</f>
        <v>0</v>
      </c>
      <c r="G273" s="58">
        <v>2</v>
      </c>
      <c r="H273" s="58"/>
      <c r="I273" s="58"/>
      <c r="J273" s="58"/>
      <c r="K273" s="81"/>
      <c r="L273" s="42" t="str">
        <f>IF($F273&gt;=L$2,"-",IF(IFERROR(VLOOKUP($G273,$U:$U,1,1),0)&gt;=L$2,"o","-"))</f>
        <v>o</v>
      </c>
      <c r="M273" s="42" t="str">
        <f>IF($F273&gt;=M$2,"-",IF(IFERROR(VLOOKUP($G273,$U:$U,1,1),0)&gt;=M$2,"o","-"))</f>
        <v>-</v>
      </c>
      <c r="N273" s="42" t="str">
        <f>IF($F273&gt;=N$2,"-",IF(IFERROR(VLOOKUP($G273,$U:$U,1,1),0)&gt;=N$2,"o","-"))</f>
        <v>-</v>
      </c>
      <c r="O273" s="42" t="str">
        <f>IF($F273&gt;=O$2,"-",IF(IFERROR(VLOOKUP($G273,$U:$U,1,1),0)&gt;=O$2,"o","-"))</f>
        <v>-</v>
      </c>
      <c r="P273" s="42" t="str">
        <f>IF($F273&gt;=P$2,"-",IF(IFERROR(VLOOKUP($G273,$U:$U,1,1),0)&gt;=P$2,"o","-"))</f>
        <v>-</v>
      </c>
      <c r="Q273" s="42" t="str">
        <f>IF($F273&gt;=Q$2,"-",IF(IFERROR(VLOOKUP($G273,$U:$U,1,1),0)&gt;=Q$2,"o","-"))</f>
        <v>-</v>
      </c>
      <c r="R273" s="42" t="str">
        <f>IF($F273&gt;=R$2,"-",IF(IFERROR(VLOOKUP($G273,$U:$U,1,1),0)&gt;=R$2,"o","-"))</f>
        <v>-</v>
      </c>
      <c r="S273" s="12">
        <f>IF(L273="o",50000,0)+IF(M273="o",100000,0)+IF(N273="o",200000,0)+IF(O273="o",400000,0)+IF(P273="o",600000,0)+IF(Q273="o",1000000,0)+IF(R273="o",2000000,0)</f>
        <v>50000</v>
      </c>
    </row>
    <row r="274" spans="2:19">
      <c r="B274" s="9">
        <v>269</v>
      </c>
      <c r="C274" s="10" t="s">
        <v>658</v>
      </c>
      <c r="D274" s="10" t="s">
        <v>902</v>
      </c>
      <c r="E274" s="82">
        <v>40734066</v>
      </c>
      <c r="F274" s="85">
        <f>IFERROR(VLOOKUP(D274,'1월'!D:F,3,0),)</f>
        <v>0</v>
      </c>
      <c r="G274" s="58">
        <v>2</v>
      </c>
      <c r="H274" s="58"/>
      <c r="I274" s="58"/>
      <c r="J274" s="58"/>
      <c r="K274" s="81"/>
      <c r="L274" s="42" t="str">
        <f>IF($F274&gt;=L$2,"-",IF(IFERROR(VLOOKUP($G274,$U:$U,1,1),0)&gt;=L$2,"o","-"))</f>
        <v>o</v>
      </c>
      <c r="M274" s="42" t="str">
        <f>IF($F274&gt;=M$2,"-",IF(IFERROR(VLOOKUP($G274,$U:$U,1,1),0)&gt;=M$2,"o","-"))</f>
        <v>-</v>
      </c>
      <c r="N274" s="42" t="str">
        <f>IF($F274&gt;=N$2,"-",IF(IFERROR(VLOOKUP($G274,$U:$U,1,1),0)&gt;=N$2,"o","-"))</f>
        <v>-</v>
      </c>
      <c r="O274" s="42" t="str">
        <f>IF($F274&gt;=O$2,"-",IF(IFERROR(VLOOKUP($G274,$U:$U,1,1),0)&gt;=O$2,"o","-"))</f>
        <v>-</v>
      </c>
      <c r="P274" s="42" t="str">
        <f>IF($F274&gt;=P$2,"-",IF(IFERROR(VLOOKUP($G274,$U:$U,1,1),0)&gt;=P$2,"o","-"))</f>
        <v>-</v>
      </c>
      <c r="Q274" s="42" t="str">
        <f>IF($F274&gt;=Q$2,"-",IF(IFERROR(VLOOKUP($G274,$U:$U,1,1),0)&gt;=Q$2,"o","-"))</f>
        <v>-</v>
      </c>
      <c r="R274" s="42" t="str">
        <f>IF($F274&gt;=R$2,"-",IF(IFERROR(VLOOKUP($G274,$U:$U,1,1),0)&gt;=R$2,"o","-"))</f>
        <v>-</v>
      </c>
      <c r="S274" s="12">
        <f>IF(L274="o",50000,0)+IF(M274="o",100000,0)+IF(N274="o",200000,0)+IF(O274="o",400000,0)+IF(P274="o",600000,0)+IF(Q274="o",1000000,0)+IF(R274="o",2000000,0)</f>
        <v>50000</v>
      </c>
    </row>
    <row r="275" spans="2:19">
      <c r="B275" s="9">
        <v>270</v>
      </c>
      <c r="C275" s="10" t="s">
        <v>659</v>
      </c>
      <c r="D275" s="10" t="s">
        <v>903</v>
      </c>
      <c r="E275" s="82">
        <v>32500055</v>
      </c>
      <c r="F275" s="85">
        <f>IFERROR(VLOOKUP(D275,'1월'!D:F,3,0),)</f>
        <v>0</v>
      </c>
      <c r="G275" s="58">
        <v>2</v>
      </c>
      <c r="H275" s="58"/>
      <c r="I275" s="58"/>
      <c r="J275" s="58"/>
      <c r="K275" s="81"/>
      <c r="L275" s="42" t="str">
        <f>IF($F275&gt;=L$2,"-",IF(IFERROR(VLOOKUP($G275,$U:$U,1,1),0)&gt;=L$2,"o","-"))</f>
        <v>o</v>
      </c>
      <c r="M275" s="42" t="str">
        <f>IF($F275&gt;=M$2,"-",IF(IFERROR(VLOOKUP($G275,$U:$U,1,1),0)&gt;=M$2,"o","-"))</f>
        <v>-</v>
      </c>
      <c r="N275" s="42" t="str">
        <f>IF($F275&gt;=N$2,"-",IF(IFERROR(VLOOKUP($G275,$U:$U,1,1),0)&gt;=N$2,"o","-"))</f>
        <v>-</v>
      </c>
      <c r="O275" s="42" t="str">
        <f>IF($F275&gt;=O$2,"-",IF(IFERROR(VLOOKUP($G275,$U:$U,1,1),0)&gt;=O$2,"o","-"))</f>
        <v>-</v>
      </c>
      <c r="P275" s="42" t="str">
        <f>IF($F275&gt;=P$2,"-",IF(IFERROR(VLOOKUP($G275,$U:$U,1,1),0)&gt;=P$2,"o","-"))</f>
        <v>-</v>
      </c>
      <c r="Q275" s="42" t="str">
        <f>IF($F275&gt;=Q$2,"-",IF(IFERROR(VLOOKUP($G275,$U:$U,1,1),0)&gt;=Q$2,"o","-"))</f>
        <v>-</v>
      </c>
      <c r="R275" s="42" t="str">
        <f>IF($F275&gt;=R$2,"-",IF(IFERROR(VLOOKUP($G275,$U:$U,1,1),0)&gt;=R$2,"o","-"))</f>
        <v>-</v>
      </c>
      <c r="S275" s="12">
        <f>IF(L275="o",50000,0)+IF(M275="o",100000,0)+IF(N275="o",200000,0)+IF(O275="o",400000,0)+IF(P275="o",600000,0)+IF(Q275="o",1000000,0)+IF(R275="o",2000000,0)</f>
        <v>50000</v>
      </c>
    </row>
    <row r="276" spans="2:19">
      <c r="B276" s="9">
        <v>271</v>
      </c>
      <c r="C276" s="10" t="s">
        <v>660</v>
      </c>
      <c r="D276" s="10" t="s">
        <v>904</v>
      </c>
      <c r="E276" s="82">
        <v>32000924</v>
      </c>
      <c r="F276" s="85">
        <f>IFERROR(VLOOKUP(D276,'1월'!D:F,3,0),)</f>
        <v>0</v>
      </c>
      <c r="G276" s="58">
        <v>2</v>
      </c>
      <c r="H276" s="58"/>
      <c r="I276" s="58"/>
      <c r="J276" s="58"/>
      <c r="K276" s="81"/>
      <c r="L276" s="42" t="str">
        <f>IF($F276&gt;=L$2,"-",IF(IFERROR(VLOOKUP($G276,$U:$U,1,1),0)&gt;=L$2,"o","-"))</f>
        <v>o</v>
      </c>
      <c r="M276" s="42" t="str">
        <f>IF($F276&gt;=M$2,"-",IF(IFERROR(VLOOKUP($G276,$U:$U,1,1),0)&gt;=M$2,"o","-"))</f>
        <v>-</v>
      </c>
      <c r="N276" s="42" t="str">
        <f>IF($F276&gt;=N$2,"-",IF(IFERROR(VLOOKUP($G276,$U:$U,1,1),0)&gt;=N$2,"o","-"))</f>
        <v>-</v>
      </c>
      <c r="O276" s="42" t="str">
        <f>IF($F276&gt;=O$2,"-",IF(IFERROR(VLOOKUP($G276,$U:$U,1,1),0)&gt;=O$2,"o","-"))</f>
        <v>-</v>
      </c>
      <c r="P276" s="42" t="str">
        <f>IF($F276&gt;=P$2,"-",IF(IFERROR(VLOOKUP($G276,$U:$U,1,1),0)&gt;=P$2,"o","-"))</f>
        <v>-</v>
      </c>
      <c r="Q276" s="42" t="str">
        <f>IF($F276&gt;=Q$2,"-",IF(IFERROR(VLOOKUP($G276,$U:$U,1,1),0)&gt;=Q$2,"o","-"))</f>
        <v>-</v>
      </c>
      <c r="R276" s="42" t="str">
        <f>IF($F276&gt;=R$2,"-",IF(IFERROR(VLOOKUP($G276,$U:$U,1,1),0)&gt;=R$2,"o","-"))</f>
        <v>-</v>
      </c>
      <c r="S276" s="12">
        <f>IF(L276="o",50000,0)+IF(M276="o",100000,0)+IF(N276="o",200000,0)+IF(O276="o",400000,0)+IF(P276="o",600000,0)+IF(Q276="o",1000000,0)+IF(R276="o",2000000,0)</f>
        <v>50000</v>
      </c>
    </row>
    <row r="277" spans="2:19">
      <c r="B277" s="9">
        <v>272</v>
      </c>
      <c r="C277" s="10" t="s">
        <v>661</v>
      </c>
      <c r="D277" s="10" t="s">
        <v>905</v>
      </c>
      <c r="E277" s="82">
        <v>32300615</v>
      </c>
      <c r="F277" s="85">
        <f>IFERROR(VLOOKUP(D277,'1월'!D:F,3,0),)</f>
        <v>0</v>
      </c>
      <c r="G277" s="58">
        <v>2</v>
      </c>
      <c r="H277" s="58"/>
      <c r="I277" s="58"/>
      <c r="J277" s="58"/>
      <c r="K277" s="81"/>
      <c r="L277" s="42" t="str">
        <f>IF($F277&gt;=L$2,"-",IF(IFERROR(VLOOKUP($G277,$U:$U,1,1),0)&gt;=L$2,"o","-"))</f>
        <v>o</v>
      </c>
      <c r="M277" s="42" t="str">
        <f>IF($F277&gt;=M$2,"-",IF(IFERROR(VLOOKUP($G277,$U:$U,1,1),0)&gt;=M$2,"o","-"))</f>
        <v>-</v>
      </c>
      <c r="N277" s="42" t="str">
        <f>IF($F277&gt;=N$2,"-",IF(IFERROR(VLOOKUP($G277,$U:$U,1,1),0)&gt;=N$2,"o","-"))</f>
        <v>-</v>
      </c>
      <c r="O277" s="42" t="str">
        <f>IF($F277&gt;=O$2,"-",IF(IFERROR(VLOOKUP($G277,$U:$U,1,1),0)&gt;=O$2,"o","-"))</f>
        <v>-</v>
      </c>
      <c r="P277" s="42" t="str">
        <f>IF($F277&gt;=P$2,"-",IF(IFERROR(VLOOKUP($G277,$U:$U,1,1),0)&gt;=P$2,"o","-"))</f>
        <v>-</v>
      </c>
      <c r="Q277" s="42" t="str">
        <f>IF($F277&gt;=Q$2,"-",IF(IFERROR(VLOOKUP($G277,$U:$U,1,1),0)&gt;=Q$2,"o","-"))</f>
        <v>-</v>
      </c>
      <c r="R277" s="42" t="str">
        <f>IF($F277&gt;=R$2,"-",IF(IFERROR(VLOOKUP($G277,$U:$U,1,1),0)&gt;=R$2,"o","-"))</f>
        <v>-</v>
      </c>
      <c r="S277" s="12">
        <f>IF(L277="o",50000,0)+IF(M277="o",100000,0)+IF(N277="o",200000,0)+IF(O277="o",400000,0)+IF(P277="o",600000,0)+IF(Q277="o",1000000,0)+IF(R277="o",2000000,0)</f>
        <v>50000</v>
      </c>
    </row>
    <row r="278" spans="2:19">
      <c r="B278" s="9">
        <v>273</v>
      </c>
      <c r="C278" s="10" t="s">
        <v>662</v>
      </c>
      <c r="D278" s="10" t="s">
        <v>906</v>
      </c>
      <c r="E278" s="82">
        <v>40734435</v>
      </c>
      <c r="F278" s="85">
        <f>IFERROR(VLOOKUP(D278,'1월'!D:F,3,0),)</f>
        <v>0</v>
      </c>
      <c r="G278" s="58">
        <v>2</v>
      </c>
      <c r="H278" s="58"/>
      <c r="I278" s="58"/>
      <c r="J278" s="58"/>
      <c r="K278" s="81"/>
      <c r="L278" s="42" t="str">
        <f>IF($F278&gt;=L$2,"-",IF(IFERROR(VLOOKUP($G278,$U:$U,1,1),0)&gt;=L$2,"o","-"))</f>
        <v>o</v>
      </c>
      <c r="M278" s="42" t="str">
        <f>IF($F278&gt;=M$2,"-",IF(IFERROR(VLOOKUP($G278,$U:$U,1,1),0)&gt;=M$2,"o","-"))</f>
        <v>-</v>
      </c>
      <c r="N278" s="42" t="str">
        <f>IF($F278&gt;=N$2,"-",IF(IFERROR(VLOOKUP($G278,$U:$U,1,1),0)&gt;=N$2,"o","-"))</f>
        <v>-</v>
      </c>
      <c r="O278" s="42" t="str">
        <f>IF($F278&gt;=O$2,"-",IF(IFERROR(VLOOKUP($G278,$U:$U,1,1),0)&gt;=O$2,"o","-"))</f>
        <v>-</v>
      </c>
      <c r="P278" s="42" t="str">
        <f>IF($F278&gt;=P$2,"-",IF(IFERROR(VLOOKUP($G278,$U:$U,1,1),0)&gt;=P$2,"o","-"))</f>
        <v>-</v>
      </c>
      <c r="Q278" s="42" t="str">
        <f>IF($F278&gt;=Q$2,"-",IF(IFERROR(VLOOKUP($G278,$U:$U,1,1),0)&gt;=Q$2,"o","-"))</f>
        <v>-</v>
      </c>
      <c r="R278" s="42" t="str">
        <f>IF($F278&gt;=R$2,"-",IF(IFERROR(VLOOKUP($G278,$U:$U,1,1),0)&gt;=R$2,"o","-"))</f>
        <v>-</v>
      </c>
      <c r="S278" s="12">
        <f>IF(L278="o",50000,0)+IF(M278="o",100000,0)+IF(N278="o",200000,0)+IF(O278="o",400000,0)+IF(P278="o",600000,0)+IF(Q278="o",1000000,0)+IF(R278="o",2000000,0)</f>
        <v>50000</v>
      </c>
    </row>
    <row r="279" spans="2:19">
      <c r="B279" s="9">
        <v>274</v>
      </c>
      <c r="C279" s="10" t="s">
        <v>663</v>
      </c>
      <c r="D279" s="10" t="s">
        <v>907</v>
      </c>
      <c r="E279" s="82">
        <v>32102354</v>
      </c>
      <c r="F279" s="85">
        <f>IFERROR(VLOOKUP(D279,'1월'!D:F,3,0),)</f>
        <v>0</v>
      </c>
      <c r="G279" s="58">
        <v>2</v>
      </c>
      <c r="H279" s="58"/>
      <c r="I279" s="58"/>
      <c r="J279" s="58"/>
      <c r="K279" s="81"/>
      <c r="L279" s="42" t="str">
        <f>IF($F279&gt;=L$2,"-",IF(IFERROR(VLOOKUP($G279,$U:$U,1,1),0)&gt;=L$2,"o","-"))</f>
        <v>o</v>
      </c>
      <c r="M279" s="42" t="str">
        <f>IF($F279&gt;=M$2,"-",IF(IFERROR(VLOOKUP($G279,$U:$U,1,1),0)&gt;=M$2,"o","-"))</f>
        <v>-</v>
      </c>
      <c r="N279" s="42" t="str">
        <f>IF($F279&gt;=N$2,"-",IF(IFERROR(VLOOKUP($G279,$U:$U,1,1),0)&gt;=N$2,"o","-"))</f>
        <v>-</v>
      </c>
      <c r="O279" s="42" t="str">
        <f>IF($F279&gt;=O$2,"-",IF(IFERROR(VLOOKUP($G279,$U:$U,1,1),0)&gt;=O$2,"o","-"))</f>
        <v>-</v>
      </c>
      <c r="P279" s="42" t="str">
        <f>IF($F279&gt;=P$2,"-",IF(IFERROR(VLOOKUP($G279,$U:$U,1,1),0)&gt;=P$2,"o","-"))</f>
        <v>-</v>
      </c>
      <c r="Q279" s="42" t="str">
        <f>IF($F279&gt;=Q$2,"-",IF(IFERROR(VLOOKUP($G279,$U:$U,1,1),0)&gt;=Q$2,"o","-"))</f>
        <v>-</v>
      </c>
      <c r="R279" s="42" t="str">
        <f>IF($F279&gt;=R$2,"-",IF(IFERROR(VLOOKUP($G279,$U:$U,1,1),0)&gt;=R$2,"o","-"))</f>
        <v>-</v>
      </c>
      <c r="S279" s="12">
        <f>IF(L279="o",50000,0)+IF(M279="o",100000,0)+IF(N279="o",200000,0)+IF(O279="o",400000,0)+IF(P279="o",600000,0)+IF(Q279="o",1000000,0)+IF(R279="o",2000000,0)</f>
        <v>50000</v>
      </c>
    </row>
    <row r="280" spans="2:19">
      <c r="B280" s="9">
        <v>275</v>
      </c>
      <c r="C280" s="10" t="s">
        <v>664</v>
      </c>
      <c r="D280" s="10" t="s">
        <v>908</v>
      </c>
      <c r="E280" s="82">
        <v>32408968</v>
      </c>
      <c r="F280" s="85">
        <f>IFERROR(VLOOKUP(D280,'1월'!D:F,3,0),)</f>
        <v>0</v>
      </c>
      <c r="G280" s="58">
        <v>2</v>
      </c>
      <c r="H280" s="58"/>
      <c r="I280" s="58"/>
      <c r="J280" s="58"/>
      <c r="K280" s="81"/>
      <c r="L280" s="42" t="str">
        <f>IF($F280&gt;=L$2,"-",IF(IFERROR(VLOOKUP($G280,$U:$U,1,1),0)&gt;=L$2,"o","-"))</f>
        <v>o</v>
      </c>
      <c r="M280" s="42" t="str">
        <f>IF($F280&gt;=M$2,"-",IF(IFERROR(VLOOKUP($G280,$U:$U,1,1),0)&gt;=M$2,"o","-"))</f>
        <v>-</v>
      </c>
      <c r="N280" s="42" t="str">
        <f>IF($F280&gt;=N$2,"-",IF(IFERROR(VLOOKUP($G280,$U:$U,1,1),0)&gt;=N$2,"o","-"))</f>
        <v>-</v>
      </c>
      <c r="O280" s="42" t="str">
        <f>IF($F280&gt;=O$2,"-",IF(IFERROR(VLOOKUP($G280,$U:$U,1,1),0)&gt;=O$2,"o","-"))</f>
        <v>-</v>
      </c>
      <c r="P280" s="42" t="str">
        <f>IF($F280&gt;=P$2,"-",IF(IFERROR(VLOOKUP($G280,$U:$U,1,1),0)&gt;=P$2,"o","-"))</f>
        <v>-</v>
      </c>
      <c r="Q280" s="42" t="str">
        <f>IF($F280&gt;=Q$2,"-",IF(IFERROR(VLOOKUP($G280,$U:$U,1,1),0)&gt;=Q$2,"o","-"))</f>
        <v>-</v>
      </c>
      <c r="R280" s="42" t="str">
        <f>IF($F280&gt;=R$2,"-",IF(IFERROR(VLOOKUP($G280,$U:$U,1,1),0)&gt;=R$2,"o","-"))</f>
        <v>-</v>
      </c>
      <c r="S280" s="12">
        <f>IF(L280="o",50000,0)+IF(M280="o",100000,0)+IF(N280="o",200000,0)+IF(O280="o",400000,0)+IF(P280="o",600000,0)+IF(Q280="o",1000000,0)+IF(R280="o",2000000,0)</f>
        <v>50000</v>
      </c>
    </row>
    <row r="281" spans="2:19">
      <c r="B281" s="9">
        <v>276</v>
      </c>
      <c r="C281" s="10" t="s">
        <v>665</v>
      </c>
      <c r="D281" s="10" t="s">
        <v>909</v>
      </c>
      <c r="E281" s="82">
        <v>32200292</v>
      </c>
      <c r="F281" s="85">
        <f>IFERROR(VLOOKUP(D281,'1월'!D:F,3,0),)</f>
        <v>0</v>
      </c>
      <c r="G281" s="58">
        <v>2</v>
      </c>
      <c r="H281" s="58"/>
      <c r="I281" s="58"/>
      <c r="J281" s="58"/>
      <c r="K281" s="81"/>
      <c r="L281" s="42" t="str">
        <f>IF($F281&gt;=L$2,"-",IF(IFERROR(VLOOKUP($G281,$U:$U,1,1),0)&gt;=L$2,"o","-"))</f>
        <v>o</v>
      </c>
      <c r="M281" s="42" t="str">
        <f>IF($F281&gt;=M$2,"-",IF(IFERROR(VLOOKUP($G281,$U:$U,1,1),0)&gt;=M$2,"o","-"))</f>
        <v>-</v>
      </c>
      <c r="N281" s="42" t="str">
        <f>IF($F281&gt;=N$2,"-",IF(IFERROR(VLOOKUP($G281,$U:$U,1,1),0)&gt;=N$2,"o","-"))</f>
        <v>-</v>
      </c>
      <c r="O281" s="42" t="str">
        <f>IF($F281&gt;=O$2,"-",IF(IFERROR(VLOOKUP($G281,$U:$U,1,1),0)&gt;=O$2,"o","-"))</f>
        <v>-</v>
      </c>
      <c r="P281" s="42" t="str">
        <f>IF($F281&gt;=P$2,"-",IF(IFERROR(VLOOKUP($G281,$U:$U,1,1),0)&gt;=P$2,"o","-"))</f>
        <v>-</v>
      </c>
      <c r="Q281" s="42" t="str">
        <f>IF($F281&gt;=Q$2,"-",IF(IFERROR(VLOOKUP($G281,$U:$U,1,1),0)&gt;=Q$2,"o","-"))</f>
        <v>-</v>
      </c>
      <c r="R281" s="42" t="str">
        <f>IF($F281&gt;=R$2,"-",IF(IFERROR(VLOOKUP($G281,$U:$U,1,1),0)&gt;=R$2,"o","-"))</f>
        <v>-</v>
      </c>
      <c r="S281" s="12">
        <f>IF(L281="o",50000,0)+IF(M281="o",100000,0)+IF(N281="o",200000,0)+IF(O281="o",400000,0)+IF(P281="o",600000,0)+IF(Q281="o",1000000,0)+IF(R281="o",2000000,0)</f>
        <v>50000</v>
      </c>
    </row>
    <row r="282" spans="2:19">
      <c r="B282" s="9">
        <v>277</v>
      </c>
      <c r="C282" s="10" t="s">
        <v>76</v>
      </c>
      <c r="D282" s="10" t="s">
        <v>910</v>
      </c>
      <c r="E282" s="82">
        <v>40715058</v>
      </c>
      <c r="F282" s="85">
        <f>IFERROR(VLOOKUP(D282,'1월'!D:F,3,0),)</f>
        <v>0</v>
      </c>
      <c r="G282" s="58">
        <v>2</v>
      </c>
      <c r="H282" s="58"/>
      <c r="I282" s="58"/>
      <c r="J282" s="58"/>
      <c r="K282" s="81"/>
      <c r="L282" s="42" t="str">
        <f>IF($F282&gt;=L$2,"-",IF(IFERROR(VLOOKUP($G282,$U:$U,1,1),0)&gt;=L$2,"o","-"))</f>
        <v>o</v>
      </c>
      <c r="M282" s="42" t="str">
        <f>IF($F282&gt;=M$2,"-",IF(IFERROR(VLOOKUP($G282,$U:$U,1,1),0)&gt;=M$2,"o","-"))</f>
        <v>-</v>
      </c>
      <c r="N282" s="42" t="str">
        <f>IF($F282&gt;=N$2,"-",IF(IFERROR(VLOOKUP($G282,$U:$U,1,1),0)&gt;=N$2,"o","-"))</f>
        <v>-</v>
      </c>
      <c r="O282" s="42" t="str">
        <f>IF($F282&gt;=O$2,"-",IF(IFERROR(VLOOKUP($G282,$U:$U,1,1),0)&gt;=O$2,"o","-"))</f>
        <v>-</v>
      </c>
      <c r="P282" s="42" t="str">
        <f>IF($F282&gt;=P$2,"-",IF(IFERROR(VLOOKUP($G282,$U:$U,1,1),0)&gt;=P$2,"o","-"))</f>
        <v>-</v>
      </c>
      <c r="Q282" s="42" t="str">
        <f>IF($F282&gt;=Q$2,"-",IF(IFERROR(VLOOKUP($G282,$U:$U,1,1),0)&gt;=Q$2,"o","-"))</f>
        <v>-</v>
      </c>
      <c r="R282" s="42" t="str">
        <f>IF($F282&gt;=R$2,"-",IF(IFERROR(VLOOKUP($G282,$U:$U,1,1),0)&gt;=R$2,"o","-"))</f>
        <v>-</v>
      </c>
      <c r="S282" s="12">
        <f>IF(L282="o",50000,0)+IF(M282="o",100000,0)+IF(N282="o",200000,0)+IF(O282="o",400000,0)+IF(P282="o",600000,0)+IF(Q282="o",1000000,0)+IF(R282="o",2000000,0)</f>
        <v>50000</v>
      </c>
    </row>
    <row r="283" spans="2:19">
      <c r="B283" s="9">
        <v>278</v>
      </c>
      <c r="C283" s="10" t="s">
        <v>666</v>
      </c>
      <c r="D283" s="10" t="s">
        <v>911</v>
      </c>
      <c r="E283" s="82">
        <v>42300759</v>
      </c>
      <c r="F283" s="85">
        <f>IFERROR(VLOOKUP(D283,'1월'!D:F,3,0),)</f>
        <v>0</v>
      </c>
      <c r="G283" s="58">
        <v>2</v>
      </c>
      <c r="H283" s="58"/>
      <c r="I283" s="58"/>
      <c r="J283" s="58"/>
      <c r="K283" s="81"/>
      <c r="L283" s="42" t="str">
        <f>IF($F283&gt;=L$2,"-",IF(IFERROR(VLOOKUP($G283,$U:$U,1,1),0)&gt;=L$2,"o","-"))</f>
        <v>o</v>
      </c>
      <c r="M283" s="42" t="str">
        <f>IF($F283&gt;=M$2,"-",IF(IFERROR(VLOOKUP($G283,$U:$U,1,1),0)&gt;=M$2,"o","-"))</f>
        <v>-</v>
      </c>
      <c r="N283" s="42" t="str">
        <f>IF($F283&gt;=N$2,"-",IF(IFERROR(VLOOKUP($G283,$U:$U,1,1),0)&gt;=N$2,"o","-"))</f>
        <v>-</v>
      </c>
      <c r="O283" s="42" t="str">
        <f>IF($F283&gt;=O$2,"-",IF(IFERROR(VLOOKUP($G283,$U:$U,1,1),0)&gt;=O$2,"o","-"))</f>
        <v>-</v>
      </c>
      <c r="P283" s="42" t="str">
        <f>IF($F283&gt;=P$2,"-",IF(IFERROR(VLOOKUP($G283,$U:$U,1,1),0)&gt;=P$2,"o","-"))</f>
        <v>-</v>
      </c>
      <c r="Q283" s="42" t="str">
        <f>IF($F283&gt;=Q$2,"-",IF(IFERROR(VLOOKUP($G283,$U:$U,1,1),0)&gt;=Q$2,"o","-"))</f>
        <v>-</v>
      </c>
      <c r="R283" s="42" t="str">
        <f>IF($F283&gt;=R$2,"-",IF(IFERROR(VLOOKUP($G283,$U:$U,1,1),0)&gt;=R$2,"o","-"))</f>
        <v>-</v>
      </c>
      <c r="S283" s="12">
        <f>IF(L283="o",50000,0)+IF(M283="o",100000,0)+IF(N283="o",200000,0)+IF(O283="o",400000,0)+IF(P283="o",600000,0)+IF(Q283="o",1000000,0)+IF(R283="o",2000000,0)</f>
        <v>50000</v>
      </c>
    </row>
    <row r="284" spans="2:19">
      <c r="B284" s="9">
        <v>279</v>
      </c>
      <c r="C284" s="10" t="s">
        <v>667</v>
      </c>
      <c r="D284" s="10" t="s">
        <v>912</v>
      </c>
      <c r="E284" s="82">
        <v>30803330</v>
      </c>
      <c r="F284" s="85">
        <f>IFERROR(VLOOKUP(D284,'1월'!D:F,3,0),)</f>
        <v>0</v>
      </c>
      <c r="G284" s="58">
        <v>2</v>
      </c>
      <c r="H284" s="58"/>
      <c r="I284" s="58"/>
      <c r="J284" s="58"/>
      <c r="K284" s="81"/>
      <c r="L284" s="42" t="str">
        <f>IF($F284&gt;=L$2,"-",IF(IFERROR(VLOOKUP($G284,$U:$U,1,1),0)&gt;=L$2,"o","-"))</f>
        <v>o</v>
      </c>
      <c r="M284" s="42" t="str">
        <f>IF($F284&gt;=M$2,"-",IF(IFERROR(VLOOKUP($G284,$U:$U,1,1),0)&gt;=M$2,"o","-"))</f>
        <v>-</v>
      </c>
      <c r="N284" s="42" t="str">
        <f>IF($F284&gt;=N$2,"-",IF(IFERROR(VLOOKUP($G284,$U:$U,1,1),0)&gt;=N$2,"o","-"))</f>
        <v>-</v>
      </c>
      <c r="O284" s="42" t="str">
        <f>IF($F284&gt;=O$2,"-",IF(IFERROR(VLOOKUP($G284,$U:$U,1,1),0)&gt;=O$2,"o","-"))</f>
        <v>-</v>
      </c>
      <c r="P284" s="42" t="str">
        <f>IF($F284&gt;=P$2,"-",IF(IFERROR(VLOOKUP($G284,$U:$U,1,1),0)&gt;=P$2,"o","-"))</f>
        <v>-</v>
      </c>
      <c r="Q284" s="42" t="str">
        <f>IF($F284&gt;=Q$2,"-",IF(IFERROR(VLOOKUP($G284,$U:$U,1,1),0)&gt;=Q$2,"o","-"))</f>
        <v>-</v>
      </c>
      <c r="R284" s="42" t="str">
        <f>IF($F284&gt;=R$2,"-",IF(IFERROR(VLOOKUP($G284,$U:$U,1,1),0)&gt;=R$2,"o","-"))</f>
        <v>-</v>
      </c>
      <c r="S284" s="12">
        <f>IF(L284="o",50000,0)+IF(M284="o",100000,0)+IF(N284="o",200000,0)+IF(O284="o",400000,0)+IF(P284="o",600000,0)+IF(Q284="o",1000000,0)+IF(R284="o",2000000,0)</f>
        <v>50000</v>
      </c>
    </row>
    <row r="285" spans="2:19">
      <c r="B285" s="9">
        <v>280</v>
      </c>
      <c r="C285" s="10" t="s">
        <v>668</v>
      </c>
      <c r="D285" s="10" t="s">
        <v>913</v>
      </c>
      <c r="E285" s="82">
        <v>32500271</v>
      </c>
      <c r="F285" s="85">
        <f>IFERROR(VLOOKUP(D285,'1월'!D:F,3,0),)</f>
        <v>0</v>
      </c>
      <c r="G285" s="58">
        <v>2</v>
      </c>
      <c r="H285" s="58"/>
      <c r="I285" s="58"/>
      <c r="J285" s="58"/>
      <c r="K285" s="81"/>
      <c r="L285" s="42" t="str">
        <f>IF($F285&gt;=L$2,"-",IF(IFERROR(VLOOKUP($G285,$U:$U,1,1),0)&gt;=L$2,"o","-"))</f>
        <v>o</v>
      </c>
      <c r="M285" s="42" t="str">
        <f>IF($F285&gt;=M$2,"-",IF(IFERROR(VLOOKUP($G285,$U:$U,1,1),0)&gt;=M$2,"o","-"))</f>
        <v>-</v>
      </c>
      <c r="N285" s="42" t="str">
        <f>IF($F285&gt;=N$2,"-",IF(IFERROR(VLOOKUP($G285,$U:$U,1,1),0)&gt;=N$2,"o","-"))</f>
        <v>-</v>
      </c>
      <c r="O285" s="42" t="str">
        <f>IF($F285&gt;=O$2,"-",IF(IFERROR(VLOOKUP($G285,$U:$U,1,1),0)&gt;=O$2,"o","-"))</f>
        <v>-</v>
      </c>
      <c r="P285" s="42" t="str">
        <f>IF($F285&gt;=P$2,"-",IF(IFERROR(VLOOKUP($G285,$U:$U,1,1),0)&gt;=P$2,"o","-"))</f>
        <v>-</v>
      </c>
      <c r="Q285" s="42" t="str">
        <f>IF($F285&gt;=Q$2,"-",IF(IFERROR(VLOOKUP($G285,$U:$U,1,1),0)&gt;=Q$2,"o","-"))</f>
        <v>-</v>
      </c>
      <c r="R285" s="42" t="str">
        <f>IF($F285&gt;=R$2,"-",IF(IFERROR(VLOOKUP($G285,$U:$U,1,1),0)&gt;=R$2,"o","-"))</f>
        <v>-</v>
      </c>
      <c r="S285" s="12">
        <f>IF(L285="o",50000,0)+IF(M285="o",100000,0)+IF(N285="o",200000,0)+IF(O285="o",400000,0)+IF(P285="o",600000,0)+IF(Q285="o",1000000,0)+IF(R285="o",2000000,0)</f>
        <v>50000</v>
      </c>
    </row>
    <row r="286" spans="2:19">
      <c r="B286" s="9">
        <v>281</v>
      </c>
      <c r="C286" s="10" t="s">
        <v>669</v>
      </c>
      <c r="D286" s="10" t="s">
        <v>914</v>
      </c>
      <c r="E286" s="82">
        <v>31800909</v>
      </c>
      <c r="F286" s="85">
        <f>IFERROR(VLOOKUP(D286,'1월'!D:F,3,0),)</f>
        <v>0</v>
      </c>
      <c r="G286" s="58">
        <v>2</v>
      </c>
      <c r="H286" s="58"/>
      <c r="I286" s="58"/>
      <c r="J286" s="58"/>
      <c r="K286" s="81"/>
      <c r="L286" s="42" t="str">
        <f>IF($F286&gt;=L$2,"-",IF(IFERROR(VLOOKUP($G286,$U:$U,1,1),0)&gt;=L$2,"o","-"))</f>
        <v>o</v>
      </c>
      <c r="M286" s="42" t="str">
        <f>IF($F286&gt;=M$2,"-",IF(IFERROR(VLOOKUP($G286,$U:$U,1,1),0)&gt;=M$2,"o","-"))</f>
        <v>-</v>
      </c>
      <c r="N286" s="42" t="str">
        <f>IF($F286&gt;=N$2,"-",IF(IFERROR(VLOOKUP($G286,$U:$U,1,1),0)&gt;=N$2,"o","-"))</f>
        <v>-</v>
      </c>
      <c r="O286" s="42" t="str">
        <f>IF($F286&gt;=O$2,"-",IF(IFERROR(VLOOKUP($G286,$U:$U,1,1),0)&gt;=O$2,"o","-"))</f>
        <v>-</v>
      </c>
      <c r="P286" s="42" t="str">
        <f>IF($F286&gt;=P$2,"-",IF(IFERROR(VLOOKUP($G286,$U:$U,1,1),0)&gt;=P$2,"o","-"))</f>
        <v>-</v>
      </c>
      <c r="Q286" s="42" t="str">
        <f>IF($F286&gt;=Q$2,"-",IF(IFERROR(VLOOKUP($G286,$U:$U,1,1),0)&gt;=Q$2,"o","-"))</f>
        <v>-</v>
      </c>
      <c r="R286" s="42" t="str">
        <f>IF($F286&gt;=R$2,"-",IF(IFERROR(VLOOKUP($G286,$U:$U,1,1),0)&gt;=R$2,"o","-"))</f>
        <v>-</v>
      </c>
      <c r="S286" s="12">
        <f>IF(L286="o",50000,0)+IF(M286="o",100000,0)+IF(N286="o",200000,0)+IF(O286="o",400000,0)+IF(P286="o",600000,0)+IF(Q286="o",1000000,0)+IF(R286="o",2000000,0)</f>
        <v>50000</v>
      </c>
    </row>
    <row r="287" spans="2:19">
      <c r="B287" s="9">
        <v>282</v>
      </c>
      <c r="C287" s="10" t="s">
        <v>670</v>
      </c>
      <c r="D287" s="10" t="s">
        <v>915</v>
      </c>
      <c r="E287" s="82">
        <v>32406122</v>
      </c>
      <c r="F287" s="85">
        <f>IFERROR(VLOOKUP(D287,'1월'!D:F,3,0),)</f>
        <v>0</v>
      </c>
      <c r="G287" s="58">
        <v>2</v>
      </c>
      <c r="H287" s="58"/>
      <c r="I287" s="58"/>
      <c r="J287" s="58"/>
      <c r="K287" s="81"/>
      <c r="L287" s="42" t="str">
        <f>IF($F287&gt;=L$2,"-",IF(IFERROR(VLOOKUP($G287,$U:$U,1,1),0)&gt;=L$2,"o","-"))</f>
        <v>o</v>
      </c>
      <c r="M287" s="42" t="str">
        <f>IF($F287&gt;=M$2,"-",IF(IFERROR(VLOOKUP($G287,$U:$U,1,1),0)&gt;=M$2,"o","-"))</f>
        <v>-</v>
      </c>
      <c r="N287" s="42" t="str">
        <f>IF($F287&gt;=N$2,"-",IF(IFERROR(VLOOKUP($G287,$U:$U,1,1),0)&gt;=N$2,"o","-"))</f>
        <v>-</v>
      </c>
      <c r="O287" s="42" t="str">
        <f>IF($F287&gt;=O$2,"-",IF(IFERROR(VLOOKUP($G287,$U:$U,1,1),0)&gt;=O$2,"o","-"))</f>
        <v>-</v>
      </c>
      <c r="P287" s="42" t="str">
        <f>IF($F287&gt;=P$2,"-",IF(IFERROR(VLOOKUP($G287,$U:$U,1,1),0)&gt;=P$2,"o","-"))</f>
        <v>-</v>
      </c>
      <c r="Q287" s="42" t="str">
        <f>IF($F287&gt;=Q$2,"-",IF(IFERROR(VLOOKUP($G287,$U:$U,1,1),0)&gt;=Q$2,"o","-"))</f>
        <v>-</v>
      </c>
      <c r="R287" s="42" t="str">
        <f>IF($F287&gt;=R$2,"-",IF(IFERROR(VLOOKUP($G287,$U:$U,1,1),0)&gt;=R$2,"o","-"))</f>
        <v>-</v>
      </c>
      <c r="S287" s="12">
        <f>IF(L287="o",50000,0)+IF(M287="o",100000,0)+IF(N287="o",200000,0)+IF(O287="o",400000,0)+IF(P287="o",600000,0)+IF(Q287="o",1000000,0)+IF(R287="o",2000000,0)</f>
        <v>50000</v>
      </c>
    </row>
    <row r="288" spans="2:19">
      <c r="B288" s="9">
        <v>283</v>
      </c>
      <c r="C288" s="10" t="s">
        <v>671</v>
      </c>
      <c r="D288" s="10" t="s">
        <v>916</v>
      </c>
      <c r="E288" s="82">
        <v>41000177</v>
      </c>
      <c r="F288" s="85">
        <f>IFERROR(VLOOKUP(D288,'1월'!D:F,3,0),)</f>
        <v>0</v>
      </c>
      <c r="G288" s="58">
        <v>2</v>
      </c>
      <c r="H288" s="58"/>
      <c r="I288" s="58"/>
      <c r="J288" s="58"/>
      <c r="K288" s="81"/>
      <c r="L288" s="42" t="str">
        <f>IF($F288&gt;=L$2,"-",IF(IFERROR(VLOOKUP($G288,$U:$U,1,1),0)&gt;=L$2,"o","-"))</f>
        <v>o</v>
      </c>
      <c r="M288" s="42" t="str">
        <f>IF($F288&gt;=M$2,"-",IF(IFERROR(VLOOKUP($G288,$U:$U,1,1),0)&gt;=M$2,"o","-"))</f>
        <v>-</v>
      </c>
      <c r="N288" s="42" t="str">
        <f>IF($F288&gt;=N$2,"-",IF(IFERROR(VLOOKUP($G288,$U:$U,1,1),0)&gt;=N$2,"o","-"))</f>
        <v>-</v>
      </c>
      <c r="O288" s="42" t="str">
        <f>IF($F288&gt;=O$2,"-",IF(IFERROR(VLOOKUP($G288,$U:$U,1,1),0)&gt;=O$2,"o","-"))</f>
        <v>-</v>
      </c>
      <c r="P288" s="42" t="str">
        <f>IF($F288&gt;=P$2,"-",IF(IFERROR(VLOOKUP($G288,$U:$U,1,1),0)&gt;=P$2,"o","-"))</f>
        <v>-</v>
      </c>
      <c r="Q288" s="42" t="str">
        <f>IF($F288&gt;=Q$2,"-",IF(IFERROR(VLOOKUP($G288,$U:$U,1,1),0)&gt;=Q$2,"o","-"))</f>
        <v>-</v>
      </c>
      <c r="R288" s="42" t="str">
        <f>IF($F288&gt;=R$2,"-",IF(IFERROR(VLOOKUP($G288,$U:$U,1,1),0)&gt;=R$2,"o","-"))</f>
        <v>-</v>
      </c>
      <c r="S288" s="12">
        <f>IF(L288="o",50000,0)+IF(M288="o",100000,0)+IF(N288="o",200000,0)+IF(O288="o",400000,0)+IF(P288="o",600000,0)+IF(Q288="o",1000000,0)+IF(R288="o",2000000,0)</f>
        <v>50000</v>
      </c>
    </row>
    <row r="289" spans="2:19">
      <c r="B289" s="9">
        <v>284</v>
      </c>
      <c r="C289" s="10" t="s">
        <v>672</v>
      </c>
      <c r="D289" s="10" t="s">
        <v>917</v>
      </c>
      <c r="E289" s="82">
        <v>32408977</v>
      </c>
      <c r="F289" s="85">
        <f>IFERROR(VLOOKUP(D289,'1월'!D:F,3,0),)</f>
        <v>0</v>
      </c>
      <c r="G289" s="58">
        <v>2</v>
      </c>
      <c r="H289" s="58"/>
      <c r="I289" s="58"/>
      <c r="J289" s="58"/>
      <c r="K289" s="81"/>
      <c r="L289" s="42" t="str">
        <f>IF($F289&gt;=L$2,"-",IF(IFERROR(VLOOKUP($G289,$U:$U,1,1),0)&gt;=L$2,"o","-"))</f>
        <v>o</v>
      </c>
      <c r="M289" s="42" t="str">
        <f>IF($F289&gt;=M$2,"-",IF(IFERROR(VLOOKUP($G289,$U:$U,1,1),0)&gt;=M$2,"o","-"))</f>
        <v>-</v>
      </c>
      <c r="N289" s="42" t="str">
        <f>IF($F289&gt;=N$2,"-",IF(IFERROR(VLOOKUP($G289,$U:$U,1,1),0)&gt;=N$2,"o","-"))</f>
        <v>-</v>
      </c>
      <c r="O289" s="42" t="str">
        <f>IF($F289&gt;=O$2,"-",IF(IFERROR(VLOOKUP($G289,$U:$U,1,1),0)&gt;=O$2,"o","-"))</f>
        <v>-</v>
      </c>
      <c r="P289" s="42" t="str">
        <f>IF($F289&gt;=P$2,"-",IF(IFERROR(VLOOKUP($G289,$U:$U,1,1),0)&gt;=P$2,"o","-"))</f>
        <v>-</v>
      </c>
      <c r="Q289" s="42" t="str">
        <f>IF($F289&gt;=Q$2,"-",IF(IFERROR(VLOOKUP($G289,$U:$U,1,1),0)&gt;=Q$2,"o","-"))</f>
        <v>-</v>
      </c>
      <c r="R289" s="42" t="str">
        <f>IF($F289&gt;=R$2,"-",IF(IFERROR(VLOOKUP($G289,$U:$U,1,1),0)&gt;=R$2,"o","-"))</f>
        <v>-</v>
      </c>
      <c r="S289" s="12">
        <f>IF(L289="o",50000,0)+IF(M289="o",100000,0)+IF(N289="o",200000,0)+IF(O289="o",400000,0)+IF(P289="o",600000,0)+IF(Q289="o",1000000,0)+IF(R289="o",2000000,0)</f>
        <v>50000</v>
      </c>
    </row>
    <row r="290" spans="2:19">
      <c r="B290" s="9">
        <v>285</v>
      </c>
      <c r="C290" s="10" t="s">
        <v>673</v>
      </c>
      <c r="D290" s="10" t="s">
        <v>918</v>
      </c>
      <c r="E290" s="82">
        <v>32200300</v>
      </c>
      <c r="F290" s="85">
        <f>IFERROR(VLOOKUP(D290,'1월'!D:F,3,0),)</f>
        <v>0</v>
      </c>
      <c r="G290" s="58">
        <v>2</v>
      </c>
      <c r="H290" s="58"/>
      <c r="I290" s="58"/>
      <c r="J290" s="58"/>
      <c r="K290" s="81"/>
      <c r="L290" s="42" t="str">
        <f>IF($F290&gt;=L$2,"-",IF(IFERROR(VLOOKUP($G290,$U:$U,1,1),0)&gt;=L$2,"o","-"))</f>
        <v>o</v>
      </c>
      <c r="M290" s="42" t="str">
        <f>IF($F290&gt;=M$2,"-",IF(IFERROR(VLOOKUP($G290,$U:$U,1,1),0)&gt;=M$2,"o","-"))</f>
        <v>-</v>
      </c>
      <c r="N290" s="42" t="str">
        <f>IF($F290&gt;=N$2,"-",IF(IFERROR(VLOOKUP($G290,$U:$U,1,1),0)&gt;=N$2,"o","-"))</f>
        <v>-</v>
      </c>
      <c r="O290" s="42" t="str">
        <f>IF($F290&gt;=O$2,"-",IF(IFERROR(VLOOKUP($G290,$U:$U,1,1),0)&gt;=O$2,"o","-"))</f>
        <v>-</v>
      </c>
      <c r="P290" s="42" t="str">
        <f>IF($F290&gt;=P$2,"-",IF(IFERROR(VLOOKUP($G290,$U:$U,1,1),0)&gt;=P$2,"o","-"))</f>
        <v>-</v>
      </c>
      <c r="Q290" s="42" t="str">
        <f>IF($F290&gt;=Q$2,"-",IF(IFERROR(VLOOKUP($G290,$U:$U,1,1),0)&gt;=Q$2,"o","-"))</f>
        <v>-</v>
      </c>
      <c r="R290" s="42" t="str">
        <f>IF($F290&gt;=R$2,"-",IF(IFERROR(VLOOKUP($G290,$U:$U,1,1),0)&gt;=R$2,"o","-"))</f>
        <v>-</v>
      </c>
      <c r="S290" s="12">
        <f>IF(L290="o",50000,0)+IF(M290="o",100000,0)+IF(N290="o",200000,0)+IF(O290="o",400000,0)+IF(P290="o",600000,0)+IF(Q290="o",1000000,0)+IF(R290="o",2000000,0)</f>
        <v>50000</v>
      </c>
    </row>
    <row r="291" spans="2:19">
      <c r="B291" s="9">
        <v>286</v>
      </c>
      <c r="C291" s="10" t="s">
        <v>674</v>
      </c>
      <c r="D291" s="10" t="s">
        <v>919</v>
      </c>
      <c r="E291" s="82">
        <v>41301326</v>
      </c>
      <c r="F291" s="85">
        <f>IFERROR(VLOOKUP(D291,'1월'!D:F,3,0),)</f>
        <v>0</v>
      </c>
      <c r="G291" s="58">
        <v>2</v>
      </c>
      <c r="H291" s="58"/>
      <c r="I291" s="58"/>
      <c r="J291" s="58"/>
      <c r="K291" s="81"/>
      <c r="L291" s="42" t="str">
        <f>IF($F291&gt;=L$2,"-",IF(IFERROR(VLOOKUP($G291,$U:$U,1,1),0)&gt;=L$2,"o","-"))</f>
        <v>o</v>
      </c>
      <c r="M291" s="42" t="str">
        <f>IF($F291&gt;=M$2,"-",IF(IFERROR(VLOOKUP($G291,$U:$U,1,1),0)&gt;=M$2,"o","-"))</f>
        <v>-</v>
      </c>
      <c r="N291" s="42" t="str">
        <f>IF($F291&gt;=N$2,"-",IF(IFERROR(VLOOKUP($G291,$U:$U,1,1),0)&gt;=N$2,"o","-"))</f>
        <v>-</v>
      </c>
      <c r="O291" s="42" t="str">
        <f>IF($F291&gt;=O$2,"-",IF(IFERROR(VLOOKUP($G291,$U:$U,1,1),0)&gt;=O$2,"o","-"))</f>
        <v>-</v>
      </c>
      <c r="P291" s="42" t="str">
        <f>IF($F291&gt;=P$2,"-",IF(IFERROR(VLOOKUP($G291,$U:$U,1,1),0)&gt;=P$2,"o","-"))</f>
        <v>-</v>
      </c>
      <c r="Q291" s="42" t="str">
        <f>IF($F291&gt;=Q$2,"-",IF(IFERROR(VLOOKUP($G291,$U:$U,1,1),0)&gt;=Q$2,"o","-"))</f>
        <v>-</v>
      </c>
      <c r="R291" s="42" t="str">
        <f>IF($F291&gt;=R$2,"-",IF(IFERROR(VLOOKUP($G291,$U:$U,1,1),0)&gt;=R$2,"o","-"))</f>
        <v>-</v>
      </c>
      <c r="S291" s="12">
        <f>IF(L291="o",50000,0)+IF(M291="o",100000,0)+IF(N291="o",200000,0)+IF(O291="o",400000,0)+IF(P291="o",600000,0)+IF(Q291="o",1000000,0)+IF(R291="o",2000000,0)</f>
        <v>50000</v>
      </c>
    </row>
    <row r="292" spans="2:19">
      <c r="B292" s="9">
        <v>287</v>
      </c>
      <c r="C292" s="10" t="s">
        <v>675</v>
      </c>
      <c r="D292" s="10" t="s">
        <v>920</v>
      </c>
      <c r="E292" s="82">
        <v>31502937</v>
      </c>
      <c r="F292" s="85">
        <f>IFERROR(VLOOKUP(D292,'1월'!D:F,3,0),)</f>
        <v>0</v>
      </c>
      <c r="G292" s="58">
        <v>2</v>
      </c>
      <c r="H292" s="58"/>
      <c r="I292" s="58"/>
      <c r="J292" s="58"/>
      <c r="K292" s="81"/>
      <c r="L292" s="42" t="str">
        <f>IF($F292&gt;=L$2,"-",IF(IFERROR(VLOOKUP($G292,$U:$U,1,1),0)&gt;=L$2,"o","-"))</f>
        <v>o</v>
      </c>
      <c r="M292" s="42" t="str">
        <f>IF($F292&gt;=M$2,"-",IF(IFERROR(VLOOKUP($G292,$U:$U,1,1),0)&gt;=M$2,"o","-"))</f>
        <v>-</v>
      </c>
      <c r="N292" s="42" t="str">
        <f>IF($F292&gt;=N$2,"-",IF(IFERROR(VLOOKUP($G292,$U:$U,1,1),0)&gt;=N$2,"o","-"))</f>
        <v>-</v>
      </c>
      <c r="O292" s="42" t="str">
        <f>IF($F292&gt;=O$2,"-",IF(IFERROR(VLOOKUP($G292,$U:$U,1,1),0)&gt;=O$2,"o","-"))</f>
        <v>-</v>
      </c>
      <c r="P292" s="42" t="str">
        <f>IF($F292&gt;=P$2,"-",IF(IFERROR(VLOOKUP($G292,$U:$U,1,1),0)&gt;=P$2,"o","-"))</f>
        <v>-</v>
      </c>
      <c r="Q292" s="42" t="str">
        <f>IF($F292&gt;=Q$2,"-",IF(IFERROR(VLOOKUP($G292,$U:$U,1,1),0)&gt;=Q$2,"o","-"))</f>
        <v>-</v>
      </c>
      <c r="R292" s="42" t="str">
        <f>IF($F292&gt;=R$2,"-",IF(IFERROR(VLOOKUP($G292,$U:$U,1,1),0)&gt;=R$2,"o","-"))</f>
        <v>-</v>
      </c>
      <c r="S292" s="12">
        <f>IF(L292="o",50000,0)+IF(M292="o",100000,0)+IF(N292="o",200000,0)+IF(O292="o",400000,0)+IF(P292="o",600000,0)+IF(Q292="o",1000000,0)+IF(R292="o",2000000,0)</f>
        <v>50000</v>
      </c>
    </row>
    <row r="293" spans="2:19">
      <c r="B293" s="9">
        <v>288</v>
      </c>
      <c r="C293" s="10" t="s">
        <v>676</v>
      </c>
      <c r="D293" s="10" t="s">
        <v>921</v>
      </c>
      <c r="E293" s="82">
        <v>32100211</v>
      </c>
      <c r="F293" s="85">
        <f>IFERROR(VLOOKUP(D293,'1월'!D:F,3,0),)</f>
        <v>0</v>
      </c>
      <c r="G293" s="58">
        <v>2</v>
      </c>
      <c r="H293" s="58"/>
      <c r="I293" s="58"/>
      <c r="J293" s="58"/>
      <c r="K293" s="81"/>
      <c r="L293" s="42" t="str">
        <f>IF($F293&gt;=L$2,"-",IF(IFERROR(VLOOKUP($G293,$U:$U,1,1),0)&gt;=L$2,"o","-"))</f>
        <v>o</v>
      </c>
      <c r="M293" s="42" t="str">
        <f>IF($F293&gt;=M$2,"-",IF(IFERROR(VLOOKUP($G293,$U:$U,1,1),0)&gt;=M$2,"o","-"))</f>
        <v>-</v>
      </c>
      <c r="N293" s="42" t="str">
        <f>IF($F293&gt;=N$2,"-",IF(IFERROR(VLOOKUP($G293,$U:$U,1,1),0)&gt;=N$2,"o","-"))</f>
        <v>-</v>
      </c>
      <c r="O293" s="42" t="str">
        <f>IF($F293&gt;=O$2,"-",IF(IFERROR(VLOOKUP($G293,$U:$U,1,1),0)&gt;=O$2,"o","-"))</f>
        <v>-</v>
      </c>
      <c r="P293" s="42" t="str">
        <f>IF($F293&gt;=P$2,"-",IF(IFERROR(VLOOKUP($G293,$U:$U,1,1),0)&gt;=P$2,"o","-"))</f>
        <v>-</v>
      </c>
      <c r="Q293" s="42" t="str">
        <f>IF($F293&gt;=Q$2,"-",IF(IFERROR(VLOOKUP($G293,$U:$U,1,1),0)&gt;=Q$2,"o","-"))</f>
        <v>-</v>
      </c>
      <c r="R293" s="42" t="str">
        <f>IF($F293&gt;=R$2,"-",IF(IFERROR(VLOOKUP($G293,$U:$U,1,1),0)&gt;=R$2,"o","-"))</f>
        <v>-</v>
      </c>
      <c r="S293" s="12">
        <f>IF(L293="o",50000,0)+IF(M293="o",100000,0)+IF(N293="o",200000,0)+IF(O293="o",400000,0)+IF(P293="o",600000,0)+IF(Q293="o",1000000,0)+IF(R293="o",2000000,0)</f>
        <v>50000</v>
      </c>
    </row>
    <row r="294" spans="2:19">
      <c r="B294" s="9">
        <v>289</v>
      </c>
      <c r="C294" s="10" t="s">
        <v>677</v>
      </c>
      <c r="D294" s="10" t="s">
        <v>922</v>
      </c>
      <c r="E294" s="82">
        <v>40703826</v>
      </c>
      <c r="F294" s="85">
        <f>IFERROR(VLOOKUP(D294,'1월'!D:F,3,0),)</f>
        <v>0</v>
      </c>
      <c r="G294" s="58">
        <v>2</v>
      </c>
      <c r="H294" s="58"/>
      <c r="I294" s="58"/>
      <c r="J294" s="58"/>
      <c r="K294" s="81"/>
      <c r="L294" s="42" t="str">
        <f>IF($F294&gt;=L$2,"-",IF(IFERROR(VLOOKUP($G294,$U:$U,1,1),0)&gt;=L$2,"o","-"))</f>
        <v>o</v>
      </c>
      <c r="M294" s="42" t="str">
        <f>IF($F294&gt;=M$2,"-",IF(IFERROR(VLOOKUP($G294,$U:$U,1,1),0)&gt;=M$2,"o","-"))</f>
        <v>-</v>
      </c>
      <c r="N294" s="42" t="str">
        <f>IF($F294&gt;=N$2,"-",IF(IFERROR(VLOOKUP($G294,$U:$U,1,1),0)&gt;=N$2,"o","-"))</f>
        <v>-</v>
      </c>
      <c r="O294" s="42" t="str">
        <f>IF($F294&gt;=O$2,"-",IF(IFERROR(VLOOKUP($G294,$U:$U,1,1),0)&gt;=O$2,"o","-"))</f>
        <v>-</v>
      </c>
      <c r="P294" s="42" t="str">
        <f>IF($F294&gt;=P$2,"-",IF(IFERROR(VLOOKUP($G294,$U:$U,1,1),0)&gt;=P$2,"o","-"))</f>
        <v>-</v>
      </c>
      <c r="Q294" s="42" t="str">
        <f>IF($F294&gt;=Q$2,"-",IF(IFERROR(VLOOKUP($G294,$U:$U,1,1),0)&gt;=Q$2,"o","-"))</f>
        <v>-</v>
      </c>
      <c r="R294" s="42" t="str">
        <f>IF($F294&gt;=R$2,"-",IF(IFERROR(VLOOKUP($G294,$U:$U,1,1),0)&gt;=R$2,"o","-"))</f>
        <v>-</v>
      </c>
      <c r="S294" s="12">
        <f>IF(L294="o",50000,0)+IF(M294="o",100000,0)+IF(N294="o",200000,0)+IF(O294="o",400000,0)+IF(P294="o",600000,0)+IF(Q294="o",1000000,0)+IF(R294="o",2000000,0)</f>
        <v>50000</v>
      </c>
    </row>
    <row r="295" spans="2:19">
      <c r="B295" s="9">
        <v>290</v>
      </c>
      <c r="C295" s="10" t="s">
        <v>678</v>
      </c>
      <c r="D295" s="10" t="s">
        <v>923</v>
      </c>
      <c r="E295" s="82">
        <v>42402044</v>
      </c>
      <c r="F295" s="85">
        <f>IFERROR(VLOOKUP(D295,'1월'!D:F,3,0),)</f>
        <v>0</v>
      </c>
      <c r="G295" s="58">
        <v>2</v>
      </c>
      <c r="H295" s="58"/>
      <c r="I295" s="58"/>
      <c r="J295" s="58"/>
      <c r="K295" s="81"/>
      <c r="L295" s="42" t="str">
        <f>IF($F295&gt;=L$2,"-",IF(IFERROR(VLOOKUP($G295,$U:$U,1,1),0)&gt;=L$2,"o","-"))</f>
        <v>o</v>
      </c>
      <c r="M295" s="42" t="str">
        <f>IF($F295&gt;=M$2,"-",IF(IFERROR(VLOOKUP($G295,$U:$U,1,1),0)&gt;=M$2,"o","-"))</f>
        <v>-</v>
      </c>
      <c r="N295" s="42" t="str">
        <f>IF($F295&gt;=N$2,"-",IF(IFERROR(VLOOKUP($G295,$U:$U,1,1),0)&gt;=N$2,"o","-"))</f>
        <v>-</v>
      </c>
      <c r="O295" s="42" t="str">
        <f>IF($F295&gt;=O$2,"-",IF(IFERROR(VLOOKUP($G295,$U:$U,1,1),0)&gt;=O$2,"o","-"))</f>
        <v>-</v>
      </c>
      <c r="P295" s="42" t="str">
        <f>IF($F295&gt;=P$2,"-",IF(IFERROR(VLOOKUP($G295,$U:$U,1,1),0)&gt;=P$2,"o","-"))</f>
        <v>-</v>
      </c>
      <c r="Q295" s="42" t="str">
        <f>IF($F295&gt;=Q$2,"-",IF(IFERROR(VLOOKUP($G295,$U:$U,1,1),0)&gt;=Q$2,"o","-"))</f>
        <v>-</v>
      </c>
      <c r="R295" s="42" t="str">
        <f>IF($F295&gt;=R$2,"-",IF(IFERROR(VLOOKUP($G295,$U:$U,1,1),0)&gt;=R$2,"o","-"))</f>
        <v>-</v>
      </c>
      <c r="S295" s="12">
        <f>IF(L295="o",50000,0)+IF(M295="o",100000,0)+IF(N295="o",200000,0)+IF(O295="o",400000,0)+IF(P295="o",600000,0)+IF(Q295="o",1000000,0)+IF(R295="o",2000000,0)</f>
        <v>50000</v>
      </c>
    </row>
    <row r="296" spans="2:19">
      <c r="B296" s="9">
        <v>291</v>
      </c>
      <c r="C296" s="10" t="s">
        <v>679</v>
      </c>
      <c r="D296" s="10" t="s">
        <v>924</v>
      </c>
      <c r="E296" s="82">
        <v>40801025</v>
      </c>
      <c r="F296" s="85">
        <f>IFERROR(VLOOKUP(D296,'1월'!D:F,3,0),)</f>
        <v>0</v>
      </c>
      <c r="G296" s="58">
        <v>2</v>
      </c>
      <c r="H296" s="58"/>
      <c r="I296" s="58"/>
      <c r="J296" s="58"/>
      <c r="K296" s="81"/>
      <c r="L296" s="42" t="str">
        <f>IF($F296&gt;=L$2,"-",IF(IFERROR(VLOOKUP($G296,$U:$U,1,1),0)&gt;=L$2,"o","-"))</f>
        <v>o</v>
      </c>
      <c r="M296" s="42" t="str">
        <f>IF($F296&gt;=M$2,"-",IF(IFERROR(VLOOKUP($G296,$U:$U,1,1),0)&gt;=M$2,"o","-"))</f>
        <v>-</v>
      </c>
      <c r="N296" s="42" t="str">
        <f>IF($F296&gt;=N$2,"-",IF(IFERROR(VLOOKUP($G296,$U:$U,1,1),0)&gt;=N$2,"o","-"))</f>
        <v>-</v>
      </c>
      <c r="O296" s="42" t="str">
        <f>IF($F296&gt;=O$2,"-",IF(IFERROR(VLOOKUP($G296,$U:$U,1,1),0)&gt;=O$2,"o","-"))</f>
        <v>-</v>
      </c>
      <c r="P296" s="42" t="str">
        <f>IF($F296&gt;=P$2,"-",IF(IFERROR(VLOOKUP($G296,$U:$U,1,1),0)&gt;=P$2,"o","-"))</f>
        <v>-</v>
      </c>
      <c r="Q296" s="42" t="str">
        <f>IF($F296&gt;=Q$2,"-",IF(IFERROR(VLOOKUP($G296,$U:$U,1,1),0)&gt;=Q$2,"o","-"))</f>
        <v>-</v>
      </c>
      <c r="R296" s="42" t="str">
        <f>IF($F296&gt;=R$2,"-",IF(IFERROR(VLOOKUP($G296,$U:$U,1,1),0)&gt;=R$2,"o","-"))</f>
        <v>-</v>
      </c>
      <c r="S296" s="12">
        <f>IF(L296="o",50000,0)+IF(M296="o",100000,0)+IF(N296="o",200000,0)+IF(O296="o",400000,0)+IF(P296="o",600000,0)+IF(Q296="o",1000000,0)+IF(R296="o",2000000,0)</f>
        <v>50000</v>
      </c>
    </row>
    <row r="297" spans="2:19">
      <c r="B297" s="9">
        <v>292</v>
      </c>
      <c r="C297" s="10" t="s">
        <v>680</v>
      </c>
      <c r="D297" s="10" t="s">
        <v>925</v>
      </c>
      <c r="E297" s="82">
        <v>31903130</v>
      </c>
      <c r="F297" s="85">
        <f>IFERROR(VLOOKUP(D297,'1월'!D:F,3,0),)</f>
        <v>0</v>
      </c>
      <c r="G297" s="58">
        <v>2</v>
      </c>
      <c r="H297" s="58"/>
      <c r="I297" s="58"/>
      <c r="J297" s="58"/>
      <c r="K297" s="81"/>
      <c r="L297" s="42" t="str">
        <f>IF($F297&gt;=L$2,"-",IF(IFERROR(VLOOKUP($G297,$U:$U,1,1),0)&gt;=L$2,"o","-"))</f>
        <v>o</v>
      </c>
      <c r="M297" s="42" t="str">
        <f>IF($F297&gt;=M$2,"-",IF(IFERROR(VLOOKUP($G297,$U:$U,1,1),0)&gt;=M$2,"o","-"))</f>
        <v>-</v>
      </c>
      <c r="N297" s="42" t="str">
        <f>IF($F297&gt;=N$2,"-",IF(IFERROR(VLOOKUP($G297,$U:$U,1,1),0)&gt;=N$2,"o","-"))</f>
        <v>-</v>
      </c>
      <c r="O297" s="42" t="str">
        <f>IF($F297&gt;=O$2,"-",IF(IFERROR(VLOOKUP($G297,$U:$U,1,1),0)&gt;=O$2,"o","-"))</f>
        <v>-</v>
      </c>
      <c r="P297" s="42" t="str">
        <f>IF($F297&gt;=P$2,"-",IF(IFERROR(VLOOKUP($G297,$U:$U,1,1),0)&gt;=P$2,"o","-"))</f>
        <v>-</v>
      </c>
      <c r="Q297" s="42" t="str">
        <f>IF($F297&gt;=Q$2,"-",IF(IFERROR(VLOOKUP($G297,$U:$U,1,1),0)&gt;=Q$2,"o","-"))</f>
        <v>-</v>
      </c>
      <c r="R297" s="42" t="str">
        <f>IF($F297&gt;=R$2,"-",IF(IFERROR(VLOOKUP($G297,$U:$U,1,1),0)&gt;=R$2,"o","-"))</f>
        <v>-</v>
      </c>
      <c r="S297" s="12">
        <f>IF(L297="o",50000,0)+IF(M297="o",100000,0)+IF(N297="o",200000,0)+IF(O297="o",400000,0)+IF(P297="o",600000,0)+IF(Q297="o",1000000,0)+IF(R297="o",2000000,0)</f>
        <v>50000</v>
      </c>
    </row>
    <row r="298" spans="2:19">
      <c r="B298" s="9">
        <v>293</v>
      </c>
      <c r="C298" s="10" t="s">
        <v>681</v>
      </c>
      <c r="D298" s="10" t="s">
        <v>926</v>
      </c>
      <c r="E298" s="82">
        <v>31100744</v>
      </c>
      <c r="F298" s="85">
        <f>IFERROR(VLOOKUP(D298,'1월'!D:F,3,0),)</f>
        <v>0</v>
      </c>
      <c r="G298" s="58">
        <v>2</v>
      </c>
      <c r="H298" s="58"/>
      <c r="I298" s="58"/>
      <c r="J298" s="58"/>
      <c r="K298" s="81"/>
      <c r="L298" s="42" t="str">
        <f>IF($F298&gt;=L$2,"-",IF(IFERROR(VLOOKUP($G298,$U:$U,1,1),0)&gt;=L$2,"o","-"))</f>
        <v>o</v>
      </c>
      <c r="M298" s="42" t="str">
        <f>IF($F298&gt;=M$2,"-",IF(IFERROR(VLOOKUP($G298,$U:$U,1,1),0)&gt;=M$2,"o","-"))</f>
        <v>-</v>
      </c>
      <c r="N298" s="42" t="str">
        <f>IF($F298&gt;=N$2,"-",IF(IFERROR(VLOOKUP($G298,$U:$U,1,1),0)&gt;=N$2,"o","-"))</f>
        <v>-</v>
      </c>
      <c r="O298" s="42" t="str">
        <f>IF($F298&gt;=O$2,"-",IF(IFERROR(VLOOKUP($G298,$U:$U,1,1),0)&gt;=O$2,"o","-"))</f>
        <v>-</v>
      </c>
      <c r="P298" s="42" t="str">
        <f>IF($F298&gt;=P$2,"-",IF(IFERROR(VLOOKUP($G298,$U:$U,1,1),0)&gt;=P$2,"o","-"))</f>
        <v>-</v>
      </c>
      <c r="Q298" s="42" t="str">
        <f>IF($F298&gt;=Q$2,"-",IF(IFERROR(VLOOKUP($G298,$U:$U,1,1),0)&gt;=Q$2,"o","-"))</f>
        <v>-</v>
      </c>
      <c r="R298" s="42" t="str">
        <f>IF($F298&gt;=R$2,"-",IF(IFERROR(VLOOKUP($G298,$U:$U,1,1),0)&gt;=R$2,"o","-"))</f>
        <v>-</v>
      </c>
      <c r="S298" s="12">
        <f>IF(L298="o",50000,0)+IF(M298="o",100000,0)+IF(N298="o",200000,0)+IF(O298="o",400000,0)+IF(P298="o",600000,0)+IF(Q298="o",1000000,0)+IF(R298="o",2000000,0)</f>
        <v>50000</v>
      </c>
    </row>
    <row r="299" spans="2:19">
      <c r="B299" s="9">
        <v>294</v>
      </c>
      <c r="C299" s="10" t="s">
        <v>682</v>
      </c>
      <c r="D299" s="10" t="s">
        <v>927</v>
      </c>
      <c r="E299" s="82">
        <v>32100581</v>
      </c>
      <c r="F299" s="85">
        <f>IFERROR(VLOOKUP(D299,'1월'!D:F,3,0),)</f>
        <v>0</v>
      </c>
      <c r="G299" s="58">
        <v>2</v>
      </c>
      <c r="H299" s="58"/>
      <c r="I299" s="58"/>
      <c r="J299" s="58"/>
      <c r="K299" s="81"/>
      <c r="L299" s="42" t="str">
        <f>IF($F299&gt;=L$2,"-",IF(IFERROR(VLOOKUP($G299,$U:$U,1,1),0)&gt;=L$2,"o","-"))</f>
        <v>o</v>
      </c>
      <c r="M299" s="42" t="str">
        <f>IF($F299&gt;=M$2,"-",IF(IFERROR(VLOOKUP($G299,$U:$U,1,1),0)&gt;=M$2,"o","-"))</f>
        <v>-</v>
      </c>
      <c r="N299" s="42" t="str">
        <f>IF($F299&gt;=N$2,"-",IF(IFERROR(VLOOKUP($G299,$U:$U,1,1),0)&gt;=N$2,"o","-"))</f>
        <v>-</v>
      </c>
      <c r="O299" s="42" t="str">
        <f>IF($F299&gt;=O$2,"-",IF(IFERROR(VLOOKUP($G299,$U:$U,1,1),0)&gt;=O$2,"o","-"))</f>
        <v>-</v>
      </c>
      <c r="P299" s="42" t="str">
        <f>IF($F299&gt;=P$2,"-",IF(IFERROR(VLOOKUP($G299,$U:$U,1,1),0)&gt;=P$2,"o","-"))</f>
        <v>-</v>
      </c>
      <c r="Q299" s="42" t="str">
        <f>IF($F299&gt;=Q$2,"-",IF(IFERROR(VLOOKUP($G299,$U:$U,1,1),0)&gt;=Q$2,"o","-"))</f>
        <v>-</v>
      </c>
      <c r="R299" s="42" t="str">
        <f>IF($F299&gt;=R$2,"-",IF(IFERROR(VLOOKUP($G299,$U:$U,1,1),0)&gt;=R$2,"o","-"))</f>
        <v>-</v>
      </c>
      <c r="S299" s="12">
        <f>IF(L299="o",50000,0)+IF(M299="o",100000,0)+IF(N299="o",200000,0)+IF(O299="o",400000,0)+IF(P299="o",600000,0)+IF(Q299="o",1000000,0)+IF(R299="o",2000000,0)</f>
        <v>50000</v>
      </c>
    </row>
    <row r="300" spans="2:19">
      <c r="B300" s="9">
        <v>295</v>
      </c>
      <c r="C300" s="10" t="s">
        <v>137</v>
      </c>
      <c r="D300" s="10" t="s">
        <v>928</v>
      </c>
      <c r="E300" s="82">
        <v>42201182</v>
      </c>
      <c r="F300" s="85">
        <f>IFERROR(VLOOKUP(D300,'1월'!D:F,3,0),)</f>
        <v>0</v>
      </c>
      <c r="G300" s="58">
        <v>2</v>
      </c>
      <c r="H300" s="58"/>
      <c r="I300" s="58"/>
      <c r="J300" s="58"/>
      <c r="K300" s="81"/>
      <c r="L300" s="42" t="str">
        <f>IF($F300&gt;=L$2,"-",IF(IFERROR(VLOOKUP($G300,$U:$U,1,1),0)&gt;=L$2,"o","-"))</f>
        <v>o</v>
      </c>
      <c r="M300" s="42" t="str">
        <f>IF($F300&gt;=M$2,"-",IF(IFERROR(VLOOKUP($G300,$U:$U,1,1),0)&gt;=M$2,"o","-"))</f>
        <v>-</v>
      </c>
      <c r="N300" s="42" t="str">
        <f>IF($F300&gt;=N$2,"-",IF(IFERROR(VLOOKUP($G300,$U:$U,1,1),0)&gt;=N$2,"o","-"))</f>
        <v>-</v>
      </c>
      <c r="O300" s="42" t="str">
        <f>IF($F300&gt;=O$2,"-",IF(IFERROR(VLOOKUP($G300,$U:$U,1,1),0)&gt;=O$2,"o","-"))</f>
        <v>-</v>
      </c>
      <c r="P300" s="42" t="str">
        <f>IF($F300&gt;=P$2,"-",IF(IFERROR(VLOOKUP($G300,$U:$U,1,1),0)&gt;=P$2,"o","-"))</f>
        <v>-</v>
      </c>
      <c r="Q300" s="42" t="str">
        <f>IF($F300&gt;=Q$2,"-",IF(IFERROR(VLOOKUP($G300,$U:$U,1,1),0)&gt;=Q$2,"o","-"))</f>
        <v>-</v>
      </c>
      <c r="R300" s="42" t="str">
        <f>IF($F300&gt;=R$2,"-",IF(IFERROR(VLOOKUP($G300,$U:$U,1,1),0)&gt;=R$2,"o","-"))</f>
        <v>-</v>
      </c>
      <c r="S300" s="12">
        <f>IF(L300="o",50000,0)+IF(M300="o",100000,0)+IF(N300="o",200000,0)+IF(O300="o",400000,0)+IF(P300="o",600000,0)+IF(Q300="o",1000000,0)+IF(R300="o",2000000,0)</f>
        <v>50000</v>
      </c>
    </row>
    <row r="301" spans="2:19">
      <c r="B301" s="9">
        <v>296</v>
      </c>
      <c r="C301" s="10" t="s">
        <v>683</v>
      </c>
      <c r="D301" s="10" t="s">
        <v>929</v>
      </c>
      <c r="E301" s="82">
        <v>42300416</v>
      </c>
      <c r="F301" s="85">
        <f>IFERROR(VLOOKUP(D301,'1월'!D:F,3,0),)</f>
        <v>0</v>
      </c>
      <c r="G301" s="58">
        <v>2</v>
      </c>
      <c r="H301" s="58"/>
      <c r="I301" s="58"/>
      <c r="J301" s="58"/>
      <c r="K301" s="81"/>
      <c r="L301" s="42" t="str">
        <f>IF($F301&gt;=L$2,"-",IF(IFERROR(VLOOKUP($G301,$U:$U,1,1),0)&gt;=L$2,"o","-"))</f>
        <v>o</v>
      </c>
      <c r="M301" s="42" t="str">
        <f>IF($F301&gt;=M$2,"-",IF(IFERROR(VLOOKUP($G301,$U:$U,1,1),0)&gt;=M$2,"o","-"))</f>
        <v>-</v>
      </c>
      <c r="N301" s="42" t="str">
        <f>IF($F301&gt;=N$2,"-",IF(IFERROR(VLOOKUP($G301,$U:$U,1,1),0)&gt;=N$2,"o","-"))</f>
        <v>-</v>
      </c>
      <c r="O301" s="42" t="str">
        <f>IF($F301&gt;=O$2,"-",IF(IFERROR(VLOOKUP($G301,$U:$U,1,1),0)&gt;=O$2,"o","-"))</f>
        <v>-</v>
      </c>
      <c r="P301" s="42" t="str">
        <f>IF($F301&gt;=P$2,"-",IF(IFERROR(VLOOKUP($G301,$U:$U,1,1),0)&gt;=P$2,"o","-"))</f>
        <v>-</v>
      </c>
      <c r="Q301" s="42" t="str">
        <f>IF($F301&gt;=Q$2,"-",IF(IFERROR(VLOOKUP($G301,$U:$U,1,1),0)&gt;=Q$2,"o","-"))</f>
        <v>-</v>
      </c>
      <c r="R301" s="42" t="str">
        <f>IF($F301&gt;=R$2,"-",IF(IFERROR(VLOOKUP($G301,$U:$U,1,1),0)&gt;=R$2,"o","-"))</f>
        <v>-</v>
      </c>
      <c r="S301" s="12">
        <f>IF(L301="o",50000,0)+IF(M301="o",100000,0)+IF(N301="o",200000,0)+IF(O301="o",400000,0)+IF(P301="o",600000,0)+IF(Q301="o",1000000,0)+IF(R301="o",2000000,0)</f>
        <v>50000</v>
      </c>
    </row>
    <row r="302" spans="2:19">
      <c r="B302" s="9">
        <v>297</v>
      </c>
      <c r="C302" s="10" t="s">
        <v>684</v>
      </c>
      <c r="D302" s="10" t="s">
        <v>930</v>
      </c>
      <c r="E302" s="82">
        <v>40731825</v>
      </c>
      <c r="F302" s="85">
        <f>IFERROR(VLOOKUP(D302,'1월'!D:F,3,0),)</f>
        <v>0</v>
      </c>
      <c r="G302" s="58">
        <v>2</v>
      </c>
      <c r="H302" s="58"/>
      <c r="I302" s="58"/>
      <c r="J302" s="58"/>
      <c r="K302" s="81"/>
      <c r="L302" s="42" t="str">
        <f>IF($F302&gt;=L$2,"-",IF(IFERROR(VLOOKUP($G302,$U:$U,1,1),0)&gt;=L$2,"o","-"))</f>
        <v>o</v>
      </c>
      <c r="M302" s="42" t="str">
        <f>IF($F302&gt;=M$2,"-",IF(IFERROR(VLOOKUP($G302,$U:$U,1,1),0)&gt;=M$2,"o","-"))</f>
        <v>-</v>
      </c>
      <c r="N302" s="42" t="str">
        <f>IF($F302&gt;=N$2,"-",IF(IFERROR(VLOOKUP($G302,$U:$U,1,1),0)&gt;=N$2,"o","-"))</f>
        <v>-</v>
      </c>
      <c r="O302" s="42" t="str">
        <f>IF($F302&gt;=O$2,"-",IF(IFERROR(VLOOKUP($G302,$U:$U,1,1),0)&gt;=O$2,"o","-"))</f>
        <v>-</v>
      </c>
      <c r="P302" s="42" t="str">
        <f>IF($F302&gt;=P$2,"-",IF(IFERROR(VLOOKUP($G302,$U:$U,1,1),0)&gt;=P$2,"o","-"))</f>
        <v>-</v>
      </c>
      <c r="Q302" s="42" t="str">
        <f>IF($F302&gt;=Q$2,"-",IF(IFERROR(VLOOKUP($G302,$U:$U,1,1),0)&gt;=Q$2,"o","-"))</f>
        <v>-</v>
      </c>
      <c r="R302" s="42" t="str">
        <f>IF($F302&gt;=R$2,"-",IF(IFERROR(VLOOKUP($G302,$U:$U,1,1),0)&gt;=R$2,"o","-"))</f>
        <v>-</v>
      </c>
      <c r="S302" s="12">
        <f>IF(L302="o",50000,0)+IF(M302="o",100000,0)+IF(N302="o",200000,0)+IF(O302="o",400000,0)+IF(P302="o",600000,0)+IF(Q302="o",1000000,0)+IF(R302="o",2000000,0)</f>
        <v>50000</v>
      </c>
    </row>
    <row r="303" spans="2:19">
      <c r="B303" s="9">
        <v>298</v>
      </c>
      <c r="C303" s="10" t="s">
        <v>685</v>
      </c>
      <c r="D303" s="10" t="s">
        <v>931</v>
      </c>
      <c r="E303" s="82">
        <v>31504700</v>
      </c>
      <c r="F303" s="85">
        <f>IFERROR(VLOOKUP(D303,'1월'!D:F,3,0),)</f>
        <v>0</v>
      </c>
      <c r="G303" s="58">
        <v>2</v>
      </c>
      <c r="H303" s="58"/>
      <c r="I303" s="58"/>
      <c r="J303" s="58"/>
      <c r="K303" s="81"/>
      <c r="L303" s="42" t="str">
        <f>IF($F303&gt;=L$2,"-",IF(IFERROR(VLOOKUP($G303,$U:$U,1,1),0)&gt;=L$2,"o","-"))</f>
        <v>o</v>
      </c>
      <c r="M303" s="42" t="str">
        <f>IF($F303&gt;=M$2,"-",IF(IFERROR(VLOOKUP($G303,$U:$U,1,1),0)&gt;=M$2,"o","-"))</f>
        <v>-</v>
      </c>
      <c r="N303" s="42" t="str">
        <f>IF($F303&gt;=N$2,"-",IF(IFERROR(VLOOKUP($G303,$U:$U,1,1),0)&gt;=N$2,"o","-"))</f>
        <v>-</v>
      </c>
      <c r="O303" s="42" t="str">
        <f>IF($F303&gt;=O$2,"-",IF(IFERROR(VLOOKUP($G303,$U:$U,1,1),0)&gt;=O$2,"o","-"))</f>
        <v>-</v>
      </c>
      <c r="P303" s="42" t="str">
        <f>IF($F303&gt;=P$2,"-",IF(IFERROR(VLOOKUP($G303,$U:$U,1,1),0)&gt;=P$2,"o","-"))</f>
        <v>-</v>
      </c>
      <c r="Q303" s="42" t="str">
        <f>IF($F303&gt;=Q$2,"-",IF(IFERROR(VLOOKUP($G303,$U:$U,1,1),0)&gt;=Q$2,"o","-"))</f>
        <v>-</v>
      </c>
      <c r="R303" s="42" t="str">
        <f>IF($F303&gt;=R$2,"-",IF(IFERROR(VLOOKUP($G303,$U:$U,1,1),0)&gt;=R$2,"o","-"))</f>
        <v>-</v>
      </c>
      <c r="S303" s="12">
        <f>IF(L303="o",50000,0)+IF(M303="o",100000,0)+IF(N303="o",200000,0)+IF(O303="o",400000,0)+IF(P303="o",600000,0)+IF(Q303="o",1000000,0)+IF(R303="o",2000000,0)</f>
        <v>50000</v>
      </c>
    </row>
    <row r="304" spans="2:19">
      <c r="B304" s="9">
        <v>299</v>
      </c>
      <c r="C304" s="10" t="s">
        <v>686</v>
      </c>
      <c r="D304" s="10" t="s">
        <v>932</v>
      </c>
      <c r="E304" s="82">
        <v>42600648</v>
      </c>
      <c r="F304" s="85">
        <f>IFERROR(VLOOKUP(D304,'1월'!D:F,3,0),)</f>
        <v>0</v>
      </c>
      <c r="G304" s="58">
        <v>2</v>
      </c>
      <c r="H304" s="58"/>
      <c r="I304" s="58"/>
      <c r="J304" s="58"/>
      <c r="K304" s="81"/>
      <c r="L304" s="42" t="str">
        <f>IF($F304&gt;=L$2,"-",IF(IFERROR(VLOOKUP($G304,$U:$U,1,1),0)&gt;=L$2,"o","-"))</f>
        <v>o</v>
      </c>
      <c r="M304" s="42" t="str">
        <f>IF($F304&gt;=M$2,"-",IF(IFERROR(VLOOKUP($G304,$U:$U,1,1),0)&gt;=M$2,"o","-"))</f>
        <v>-</v>
      </c>
      <c r="N304" s="42" t="str">
        <f>IF($F304&gt;=N$2,"-",IF(IFERROR(VLOOKUP($G304,$U:$U,1,1),0)&gt;=N$2,"o","-"))</f>
        <v>-</v>
      </c>
      <c r="O304" s="42" t="str">
        <f>IF($F304&gt;=O$2,"-",IF(IFERROR(VLOOKUP($G304,$U:$U,1,1),0)&gt;=O$2,"o","-"))</f>
        <v>-</v>
      </c>
      <c r="P304" s="42" t="str">
        <f>IF($F304&gt;=P$2,"-",IF(IFERROR(VLOOKUP($G304,$U:$U,1,1),0)&gt;=P$2,"o","-"))</f>
        <v>-</v>
      </c>
      <c r="Q304" s="42" t="str">
        <f>IF($F304&gt;=Q$2,"-",IF(IFERROR(VLOOKUP($G304,$U:$U,1,1),0)&gt;=Q$2,"o","-"))</f>
        <v>-</v>
      </c>
      <c r="R304" s="42" t="str">
        <f>IF($F304&gt;=R$2,"-",IF(IFERROR(VLOOKUP($G304,$U:$U,1,1),0)&gt;=R$2,"o","-"))</f>
        <v>-</v>
      </c>
      <c r="S304" s="12">
        <f>IF(L304="o",50000,0)+IF(M304="o",100000,0)+IF(N304="o",200000,0)+IF(O304="o",400000,0)+IF(P304="o",600000,0)+IF(Q304="o",1000000,0)+IF(R304="o",2000000,0)</f>
        <v>50000</v>
      </c>
    </row>
    <row r="305" spans="2:19">
      <c r="B305" s="9">
        <v>300</v>
      </c>
      <c r="C305" s="10" t="s">
        <v>687</v>
      </c>
      <c r="D305" s="10" t="s">
        <v>933</v>
      </c>
      <c r="E305" s="82">
        <v>40706364</v>
      </c>
      <c r="F305" s="85">
        <f>IFERROR(VLOOKUP(D305,'1월'!D:F,3,0),)</f>
        <v>0</v>
      </c>
      <c r="G305" s="58">
        <v>2</v>
      </c>
      <c r="H305" s="58"/>
      <c r="I305" s="58"/>
      <c r="J305" s="58"/>
      <c r="K305" s="81"/>
      <c r="L305" s="42" t="str">
        <f>IF($F305&gt;=L$2,"-",IF(IFERROR(VLOOKUP($G305,$U:$U,1,1),0)&gt;=L$2,"o","-"))</f>
        <v>o</v>
      </c>
      <c r="M305" s="42" t="str">
        <f>IF($F305&gt;=M$2,"-",IF(IFERROR(VLOOKUP($G305,$U:$U,1,1),0)&gt;=M$2,"o","-"))</f>
        <v>-</v>
      </c>
      <c r="N305" s="42" t="str">
        <f>IF($F305&gt;=N$2,"-",IF(IFERROR(VLOOKUP($G305,$U:$U,1,1),0)&gt;=N$2,"o","-"))</f>
        <v>-</v>
      </c>
      <c r="O305" s="42" t="str">
        <f>IF($F305&gt;=O$2,"-",IF(IFERROR(VLOOKUP($G305,$U:$U,1,1),0)&gt;=O$2,"o","-"))</f>
        <v>-</v>
      </c>
      <c r="P305" s="42" t="str">
        <f>IF($F305&gt;=P$2,"-",IF(IFERROR(VLOOKUP($G305,$U:$U,1,1),0)&gt;=P$2,"o","-"))</f>
        <v>-</v>
      </c>
      <c r="Q305" s="42" t="str">
        <f>IF($F305&gt;=Q$2,"-",IF(IFERROR(VLOOKUP($G305,$U:$U,1,1),0)&gt;=Q$2,"o","-"))</f>
        <v>-</v>
      </c>
      <c r="R305" s="42" t="str">
        <f>IF($F305&gt;=R$2,"-",IF(IFERROR(VLOOKUP($G305,$U:$U,1,1),0)&gt;=R$2,"o","-"))</f>
        <v>-</v>
      </c>
      <c r="S305" s="12">
        <f>IF(L305="o",50000,0)+IF(M305="o",100000,0)+IF(N305="o",200000,0)+IF(O305="o",400000,0)+IF(P305="o",600000,0)+IF(Q305="o",1000000,0)+IF(R305="o",2000000,0)</f>
        <v>50000</v>
      </c>
    </row>
    <row r="306" spans="2:19">
      <c r="B306" s="9">
        <v>301</v>
      </c>
      <c r="C306" s="10" t="s">
        <v>688</v>
      </c>
      <c r="D306" s="10" t="s">
        <v>934</v>
      </c>
      <c r="E306" s="82">
        <v>32407202</v>
      </c>
      <c r="F306" s="85">
        <f>IFERROR(VLOOKUP(D306,'1월'!D:F,3,0),)</f>
        <v>0</v>
      </c>
      <c r="G306" s="58">
        <v>2</v>
      </c>
      <c r="H306" s="58"/>
      <c r="I306" s="58"/>
      <c r="J306" s="58"/>
      <c r="K306" s="81"/>
      <c r="L306" s="42" t="str">
        <f>IF($F306&gt;=L$2,"-",IF(IFERROR(VLOOKUP($G306,$U:$U,1,1),0)&gt;=L$2,"o","-"))</f>
        <v>o</v>
      </c>
      <c r="M306" s="42" t="str">
        <f>IF($F306&gt;=M$2,"-",IF(IFERROR(VLOOKUP($G306,$U:$U,1,1),0)&gt;=M$2,"o","-"))</f>
        <v>-</v>
      </c>
      <c r="N306" s="42" t="str">
        <f>IF($F306&gt;=N$2,"-",IF(IFERROR(VLOOKUP($G306,$U:$U,1,1),0)&gt;=N$2,"o","-"))</f>
        <v>-</v>
      </c>
      <c r="O306" s="42" t="str">
        <f>IF($F306&gt;=O$2,"-",IF(IFERROR(VLOOKUP($G306,$U:$U,1,1),0)&gt;=O$2,"o","-"))</f>
        <v>-</v>
      </c>
      <c r="P306" s="42" t="str">
        <f>IF($F306&gt;=P$2,"-",IF(IFERROR(VLOOKUP($G306,$U:$U,1,1),0)&gt;=P$2,"o","-"))</f>
        <v>-</v>
      </c>
      <c r="Q306" s="42" t="str">
        <f>IF($F306&gt;=Q$2,"-",IF(IFERROR(VLOOKUP($G306,$U:$U,1,1),0)&gt;=Q$2,"o","-"))</f>
        <v>-</v>
      </c>
      <c r="R306" s="42" t="str">
        <f>IF($F306&gt;=R$2,"-",IF(IFERROR(VLOOKUP($G306,$U:$U,1,1),0)&gt;=R$2,"o","-"))</f>
        <v>-</v>
      </c>
      <c r="S306" s="12">
        <f>IF(L306="o",50000,0)+IF(M306="o",100000,0)+IF(N306="o",200000,0)+IF(O306="o",400000,0)+IF(P306="o",600000,0)+IF(Q306="o",1000000,0)+IF(R306="o",2000000,0)</f>
        <v>50000</v>
      </c>
    </row>
    <row r="307" spans="2:19">
      <c r="B307" s="9">
        <v>302</v>
      </c>
      <c r="C307" s="10" t="s">
        <v>689</v>
      </c>
      <c r="D307" s="10" t="s">
        <v>935</v>
      </c>
      <c r="E307" s="82">
        <v>42403818</v>
      </c>
      <c r="F307" s="85">
        <f>IFERROR(VLOOKUP(D307,'1월'!D:F,3,0),)</f>
        <v>0</v>
      </c>
      <c r="G307" s="58">
        <v>2</v>
      </c>
      <c r="H307" s="58"/>
      <c r="I307" s="58"/>
      <c r="J307" s="58"/>
      <c r="K307" s="81"/>
      <c r="L307" s="42" t="str">
        <f>IF($F307&gt;=L$2,"-",IF(IFERROR(VLOOKUP($G307,$U:$U,1,1),0)&gt;=L$2,"o","-"))</f>
        <v>o</v>
      </c>
      <c r="M307" s="42" t="str">
        <f>IF($F307&gt;=M$2,"-",IF(IFERROR(VLOOKUP($G307,$U:$U,1,1),0)&gt;=M$2,"o","-"))</f>
        <v>-</v>
      </c>
      <c r="N307" s="42" t="str">
        <f>IF($F307&gt;=N$2,"-",IF(IFERROR(VLOOKUP($G307,$U:$U,1,1),0)&gt;=N$2,"o","-"))</f>
        <v>-</v>
      </c>
      <c r="O307" s="42" t="str">
        <f>IF($F307&gt;=O$2,"-",IF(IFERROR(VLOOKUP($G307,$U:$U,1,1),0)&gt;=O$2,"o","-"))</f>
        <v>-</v>
      </c>
      <c r="P307" s="42" t="str">
        <f>IF($F307&gt;=P$2,"-",IF(IFERROR(VLOOKUP($G307,$U:$U,1,1),0)&gt;=P$2,"o","-"))</f>
        <v>-</v>
      </c>
      <c r="Q307" s="42" t="str">
        <f>IF($F307&gt;=Q$2,"-",IF(IFERROR(VLOOKUP($G307,$U:$U,1,1),0)&gt;=Q$2,"o","-"))</f>
        <v>-</v>
      </c>
      <c r="R307" s="42" t="str">
        <f>IF($F307&gt;=R$2,"-",IF(IFERROR(VLOOKUP($G307,$U:$U,1,1),0)&gt;=R$2,"o","-"))</f>
        <v>-</v>
      </c>
      <c r="S307" s="12">
        <f>IF(L307="o",50000,0)+IF(M307="o",100000,0)+IF(N307="o",200000,0)+IF(O307="o",400000,0)+IF(P307="o",600000,0)+IF(Q307="o",1000000,0)+IF(R307="o",2000000,0)</f>
        <v>50000</v>
      </c>
    </row>
    <row r="308" spans="2:19">
      <c r="B308" s="9">
        <v>303</v>
      </c>
      <c r="C308" s="10" t="s">
        <v>690</v>
      </c>
      <c r="D308" s="10" t="s">
        <v>936</v>
      </c>
      <c r="E308" s="82">
        <v>29811621</v>
      </c>
      <c r="F308" s="85">
        <f>IFERROR(VLOOKUP(D308,'1월'!D:F,3,0),)</f>
        <v>0</v>
      </c>
      <c r="G308" s="58">
        <v>2</v>
      </c>
      <c r="H308" s="58"/>
      <c r="I308" s="58"/>
      <c r="J308" s="58"/>
      <c r="K308" s="81"/>
      <c r="L308" s="42" t="str">
        <f>IF($F308&gt;=L$2,"-",IF(IFERROR(VLOOKUP($G308,$U:$U,1,1),0)&gt;=L$2,"o","-"))</f>
        <v>o</v>
      </c>
      <c r="M308" s="42" t="str">
        <f>IF($F308&gt;=M$2,"-",IF(IFERROR(VLOOKUP($G308,$U:$U,1,1),0)&gt;=M$2,"o","-"))</f>
        <v>-</v>
      </c>
      <c r="N308" s="42" t="str">
        <f>IF($F308&gt;=N$2,"-",IF(IFERROR(VLOOKUP($G308,$U:$U,1,1),0)&gt;=N$2,"o","-"))</f>
        <v>-</v>
      </c>
      <c r="O308" s="42" t="str">
        <f>IF($F308&gt;=O$2,"-",IF(IFERROR(VLOOKUP($G308,$U:$U,1,1),0)&gt;=O$2,"o","-"))</f>
        <v>-</v>
      </c>
      <c r="P308" s="42" t="str">
        <f>IF($F308&gt;=P$2,"-",IF(IFERROR(VLOOKUP($G308,$U:$U,1,1),0)&gt;=P$2,"o","-"))</f>
        <v>-</v>
      </c>
      <c r="Q308" s="42" t="str">
        <f>IF($F308&gt;=Q$2,"-",IF(IFERROR(VLOOKUP($G308,$U:$U,1,1),0)&gt;=Q$2,"o","-"))</f>
        <v>-</v>
      </c>
      <c r="R308" s="42" t="str">
        <f>IF($F308&gt;=R$2,"-",IF(IFERROR(VLOOKUP($G308,$U:$U,1,1),0)&gt;=R$2,"o","-"))</f>
        <v>-</v>
      </c>
      <c r="S308" s="12">
        <f>IF(L308="o",50000,0)+IF(M308="o",100000,0)+IF(N308="o",200000,0)+IF(O308="o",400000,0)+IF(P308="o",600000,0)+IF(Q308="o",1000000,0)+IF(R308="o",2000000,0)</f>
        <v>50000</v>
      </c>
    </row>
    <row r="309" spans="2:19">
      <c r="B309" s="9">
        <v>304</v>
      </c>
      <c r="C309" s="10" t="s">
        <v>691</v>
      </c>
      <c r="D309" s="10" t="s">
        <v>937</v>
      </c>
      <c r="E309" s="82">
        <v>41404629</v>
      </c>
      <c r="F309" s="85">
        <f>IFERROR(VLOOKUP(D309,'1월'!D:F,3,0),)</f>
        <v>0</v>
      </c>
      <c r="G309" s="58">
        <v>2</v>
      </c>
      <c r="H309" s="58"/>
      <c r="I309" s="58"/>
      <c r="J309" s="58"/>
      <c r="K309" s="81"/>
      <c r="L309" s="42" t="str">
        <f>IF($F309&gt;=L$2,"-",IF(IFERROR(VLOOKUP($G309,$U:$U,1,1),0)&gt;=L$2,"o","-"))</f>
        <v>o</v>
      </c>
      <c r="M309" s="42" t="str">
        <f>IF($F309&gt;=M$2,"-",IF(IFERROR(VLOOKUP($G309,$U:$U,1,1),0)&gt;=M$2,"o","-"))</f>
        <v>-</v>
      </c>
      <c r="N309" s="42" t="str">
        <f>IF($F309&gt;=N$2,"-",IF(IFERROR(VLOOKUP($G309,$U:$U,1,1),0)&gt;=N$2,"o","-"))</f>
        <v>-</v>
      </c>
      <c r="O309" s="42" t="str">
        <f>IF($F309&gt;=O$2,"-",IF(IFERROR(VLOOKUP($G309,$U:$U,1,1),0)&gt;=O$2,"o","-"))</f>
        <v>-</v>
      </c>
      <c r="P309" s="42" t="str">
        <f>IF($F309&gt;=P$2,"-",IF(IFERROR(VLOOKUP($G309,$U:$U,1,1),0)&gt;=P$2,"o","-"))</f>
        <v>-</v>
      </c>
      <c r="Q309" s="42" t="str">
        <f>IF($F309&gt;=Q$2,"-",IF(IFERROR(VLOOKUP($G309,$U:$U,1,1),0)&gt;=Q$2,"o","-"))</f>
        <v>-</v>
      </c>
      <c r="R309" s="42" t="str">
        <f>IF($F309&gt;=R$2,"-",IF(IFERROR(VLOOKUP($G309,$U:$U,1,1),0)&gt;=R$2,"o","-"))</f>
        <v>-</v>
      </c>
      <c r="S309" s="12">
        <f>IF(L309="o",50000,0)+IF(M309="o",100000,0)+IF(N309="o",200000,0)+IF(O309="o",400000,0)+IF(P309="o",600000,0)+IF(Q309="o",1000000,0)+IF(R309="o",2000000,0)</f>
        <v>50000</v>
      </c>
    </row>
    <row r="310" spans="2:19">
      <c r="B310" s="9">
        <v>305</v>
      </c>
      <c r="C310" s="10" t="s">
        <v>692</v>
      </c>
      <c r="D310" s="10" t="s">
        <v>938</v>
      </c>
      <c r="E310" s="82">
        <v>31800503</v>
      </c>
      <c r="F310" s="85">
        <f>IFERROR(VLOOKUP(D310,'1월'!D:F,3,0),)</f>
        <v>0</v>
      </c>
      <c r="G310" s="58">
        <v>2</v>
      </c>
      <c r="H310" s="58"/>
      <c r="I310" s="58"/>
      <c r="J310" s="58"/>
      <c r="K310" s="81"/>
      <c r="L310" s="42" t="str">
        <f>IF($F310&gt;=L$2,"-",IF(IFERROR(VLOOKUP($G310,$U:$U,1,1),0)&gt;=L$2,"o","-"))</f>
        <v>o</v>
      </c>
      <c r="M310" s="42" t="str">
        <f>IF($F310&gt;=M$2,"-",IF(IFERROR(VLOOKUP($G310,$U:$U,1,1),0)&gt;=M$2,"o","-"))</f>
        <v>-</v>
      </c>
      <c r="N310" s="42" t="str">
        <f>IF($F310&gt;=N$2,"-",IF(IFERROR(VLOOKUP($G310,$U:$U,1,1),0)&gt;=N$2,"o","-"))</f>
        <v>-</v>
      </c>
      <c r="O310" s="42" t="str">
        <f>IF($F310&gt;=O$2,"-",IF(IFERROR(VLOOKUP($G310,$U:$U,1,1),0)&gt;=O$2,"o","-"))</f>
        <v>-</v>
      </c>
      <c r="P310" s="42" t="str">
        <f>IF($F310&gt;=P$2,"-",IF(IFERROR(VLOOKUP($G310,$U:$U,1,1),0)&gt;=P$2,"o","-"))</f>
        <v>-</v>
      </c>
      <c r="Q310" s="42" t="str">
        <f>IF($F310&gt;=Q$2,"-",IF(IFERROR(VLOOKUP($G310,$U:$U,1,1),0)&gt;=Q$2,"o","-"))</f>
        <v>-</v>
      </c>
      <c r="R310" s="42" t="str">
        <f>IF($F310&gt;=R$2,"-",IF(IFERROR(VLOOKUP($G310,$U:$U,1,1),0)&gt;=R$2,"o","-"))</f>
        <v>-</v>
      </c>
      <c r="S310" s="12">
        <f>IF(L310="o",50000,0)+IF(M310="o",100000,0)+IF(N310="o",200000,0)+IF(O310="o",400000,0)+IF(P310="o",600000,0)+IF(Q310="o",1000000,0)+IF(R310="o",2000000,0)</f>
        <v>50000</v>
      </c>
    </row>
    <row r="311" spans="2:19">
      <c r="B311" s="9">
        <v>306</v>
      </c>
      <c r="C311" s="10" t="s">
        <v>693</v>
      </c>
      <c r="D311" s="10" t="s">
        <v>939</v>
      </c>
      <c r="E311" s="82">
        <v>40738369</v>
      </c>
      <c r="F311" s="85">
        <f>IFERROR(VLOOKUP(D311,'1월'!D:F,3,0),)</f>
        <v>0</v>
      </c>
      <c r="G311" s="58">
        <v>2</v>
      </c>
      <c r="H311" s="58"/>
      <c r="I311" s="58"/>
      <c r="J311" s="58"/>
      <c r="K311" s="81"/>
      <c r="L311" s="42" t="str">
        <f>IF($F311&gt;=L$2,"-",IF(IFERROR(VLOOKUP($G311,$U:$U,1,1),0)&gt;=L$2,"o","-"))</f>
        <v>o</v>
      </c>
      <c r="M311" s="42" t="str">
        <f>IF($F311&gt;=M$2,"-",IF(IFERROR(VLOOKUP($G311,$U:$U,1,1),0)&gt;=M$2,"o","-"))</f>
        <v>-</v>
      </c>
      <c r="N311" s="42" t="str">
        <f>IF($F311&gt;=N$2,"-",IF(IFERROR(VLOOKUP($G311,$U:$U,1,1),0)&gt;=N$2,"o","-"))</f>
        <v>-</v>
      </c>
      <c r="O311" s="42" t="str">
        <f>IF($F311&gt;=O$2,"-",IF(IFERROR(VLOOKUP($G311,$U:$U,1,1),0)&gt;=O$2,"o","-"))</f>
        <v>-</v>
      </c>
      <c r="P311" s="42" t="str">
        <f>IF($F311&gt;=P$2,"-",IF(IFERROR(VLOOKUP($G311,$U:$U,1,1),0)&gt;=P$2,"o","-"))</f>
        <v>-</v>
      </c>
      <c r="Q311" s="42" t="str">
        <f>IF($F311&gt;=Q$2,"-",IF(IFERROR(VLOOKUP($G311,$U:$U,1,1),0)&gt;=Q$2,"o","-"))</f>
        <v>-</v>
      </c>
      <c r="R311" s="42" t="str">
        <f>IF($F311&gt;=R$2,"-",IF(IFERROR(VLOOKUP($G311,$U:$U,1,1),0)&gt;=R$2,"o","-"))</f>
        <v>-</v>
      </c>
      <c r="S311" s="12">
        <f>IF(L311="o",50000,0)+IF(M311="o",100000,0)+IF(N311="o",200000,0)+IF(O311="o",400000,0)+IF(P311="o",600000,0)+IF(Q311="o",1000000,0)+IF(R311="o",2000000,0)</f>
        <v>50000</v>
      </c>
    </row>
    <row r="312" spans="2:19">
      <c r="B312" s="9">
        <v>307</v>
      </c>
      <c r="C312" s="10" t="s">
        <v>694</v>
      </c>
      <c r="D312" s="10" t="s">
        <v>940</v>
      </c>
      <c r="E312" s="82">
        <v>31900593</v>
      </c>
      <c r="F312" s="85">
        <f>IFERROR(VLOOKUP(D312,'1월'!D:F,3,0),)</f>
        <v>0</v>
      </c>
      <c r="G312" s="58">
        <v>2</v>
      </c>
      <c r="H312" s="58"/>
      <c r="I312" s="58"/>
      <c r="J312" s="58"/>
      <c r="K312" s="81"/>
      <c r="L312" s="42" t="str">
        <f>IF($F312&gt;=L$2,"-",IF(IFERROR(VLOOKUP($G312,$U:$U,1,1),0)&gt;=L$2,"o","-"))</f>
        <v>o</v>
      </c>
      <c r="M312" s="42" t="str">
        <f>IF($F312&gt;=M$2,"-",IF(IFERROR(VLOOKUP($G312,$U:$U,1,1),0)&gt;=M$2,"o","-"))</f>
        <v>-</v>
      </c>
      <c r="N312" s="42" t="str">
        <f>IF($F312&gt;=N$2,"-",IF(IFERROR(VLOOKUP($G312,$U:$U,1,1),0)&gt;=N$2,"o","-"))</f>
        <v>-</v>
      </c>
      <c r="O312" s="42" t="str">
        <f>IF($F312&gt;=O$2,"-",IF(IFERROR(VLOOKUP($G312,$U:$U,1,1),0)&gt;=O$2,"o","-"))</f>
        <v>-</v>
      </c>
      <c r="P312" s="42" t="str">
        <f>IF($F312&gt;=P$2,"-",IF(IFERROR(VLOOKUP($G312,$U:$U,1,1),0)&gt;=P$2,"o","-"))</f>
        <v>-</v>
      </c>
      <c r="Q312" s="42" t="str">
        <f>IF($F312&gt;=Q$2,"-",IF(IFERROR(VLOOKUP($G312,$U:$U,1,1),0)&gt;=Q$2,"o","-"))</f>
        <v>-</v>
      </c>
      <c r="R312" s="42" t="str">
        <f>IF($F312&gt;=R$2,"-",IF(IFERROR(VLOOKUP($G312,$U:$U,1,1),0)&gt;=R$2,"o","-"))</f>
        <v>-</v>
      </c>
      <c r="S312" s="12">
        <f>IF(L312="o",50000,0)+IF(M312="o",100000,0)+IF(N312="o",200000,0)+IF(O312="o",400000,0)+IF(P312="o",600000,0)+IF(Q312="o",1000000,0)+IF(R312="o",2000000,0)</f>
        <v>50000</v>
      </c>
    </row>
    <row r="313" spans="2:19">
      <c r="B313" s="9">
        <v>308</v>
      </c>
      <c r="C313" s="10" t="s">
        <v>695</v>
      </c>
      <c r="D313" s="10" t="s">
        <v>941</v>
      </c>
      <c r="E313" s="82">
        <v>31902528</v>
      </c>
      <c r="F313" s="85">
        <f>IFERROR(VLOOKUP(D313,'1월'!D:F,3,0),)</f>
        <v>0</v>
      </c>
      <c r="G313" s="58">
        <v>2</v>
      </c>
      <c r="H313" s="58"/>
      <c r="I313" s="58"/>
      <c r="J313" s="58"/>
      <c r="K313" s="81"/>
      <c r="L313" s="42" t="str">
        <f>IF($F313&gt;=L$2,"-",IF(IFERROR(VLOOKUP($G313,$U:$U,1,1),0)&gt;=L$2,"o","-"))</f>
        <v>o</v>
      </c>
      <c r="M313" s="42" t="str">
        <f>IF($F313&gt;=M$2,"-",IF(IFERROR(VLOOKUP($G313,$U:$U,1,1),0)&gt;=M$2,"o","-"))</f>
        <v>-</v>
      </c>
      <c r="N313" s="42" t="str">
        <f>IF($F313&gt;=N$2,"-",IF(IFERROR(VLOOKUP($G313,$U:$U,1,1),0)&gt;=N$2,"o","-"))</f>
        <v>-</v>
      </c>
      <c r="O313" s="42" t="str">
        <f>IF($F313&gt;=O$2,"-",IF(IFERROR(VLOOKUP($G313,$U:$U,1,1),0)&gt;=O$2,"o","-"))</f>
        <v>-</v>
      </c>
      <c r="P313" s="42" t="str">
        <f>IF($F313&gt;=P$2,"-",IF(IFERROR(VLOOKUP($G313,$U:$U,1,1),0)&gt;=P$2,"o","-"))</f>
        <v>-</v>
      </c>
      <c r="Q313" s="42" t="str">
        <f>IF($F313&gt;=Q$2,"-",IF(IFERROR(VLOOKUP($G313,$U:$U,1,1),0)&gt;=Q$2,"o","-"))</f>
        <v>-</v>
      </c>
      <c r="R313" s="42" t="str">
        <f>IF($F313&gt;=R$2,"-",IF(IFERROR(VLOOKUP($G313,$U:$U,1,1),0)&gt;=R$2,"o","-"))</f>
        <v>-</v>
      </c>
      <c r="S313" s="12">
        <f>IF(L313="o",50000,0)+IF(M313="o",100000,0)+IF(N313="o",200000,0)+IF(O313="o",400000,0)+IF(P313="o",600000,0)+IF(Q313="o",1000000,0)+IF(R313="o",2000000,0)</f>
        <v>50000</v>
      </c>
    </row>
  </sheetData>
  <autoFilter ref="C4:S313" xr:uid="{09D97EC8-DDC0-4BC5-85B4-420FBFA0F25A}">
    <sortState xmlns:xlrd2="http://schemas.microsoft.com/office/spreadsheetml/2017/richdata2" ref="C5:S313">
      <sortCondition descending="1" ref="S4"/>
    </sortState>
  </autoFilter>
  <mergeCells count="2">
    <mergeCell ref="L3:S3"/>
    <mergeCell ref="F3:K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B30-22DB-4421-ADD7-998345FC7465}">
  <sheetPr>
    <pageSetUpPr fitToPage="1"/>
  </sheetPr>
  <dimension ref="B2:H53"/>
  <sheetViews>
    <sheetView showGridLines="0" zoomScale="85" zoomScaleNormal="85" workbookViewId="0"/>
  </sheetViews>
  <sheetFormatPr defaultRowHeight="16.5"/>
  <cols>
    <col min="1" max="1" width="3.25" customWidth="1"/>
    <col min="2" max="2" width="13.625" customWidth="1"/>
    <col min="3" max="3" width="3.875" style="11" customWidth="1"/>
    <col min="4" max="4" width="60" bestFit="1" customWidth="1"/>
    <col min="5" max="5" width="14.875" customWidth="1"/>
    <col min="6" max="6" width="13.625" customWidth="1"/>
    <col min="7" max="7" width="13" hidden="1" customWidth="1"/>
    <col min="8" max="8" width="16.375" hidden="1" customWidth="1"/>
  </cols>
  <sheetData>
    <row r="2" spans="2:8" ht="35.1" customHeight="1">
      <c r="B2" s="30" t="s">
        <v>447</v>
      </c>
      <c r="C2" s="51"/>
      <c r="D2" s="29"/>
      <c r="E2" s="29"/>
    </row>
    <row r="3" spans="2:8" ht="18" customHeight="1">
      <c r="B3" s="28" t="s">
        <v>446</v>
      </c>
      <c r="C3" s="52"/>
      <c r="D3" s="27"/>
      <c r="E3" s="27"/>
    </row>
    <row r="4" spans="2:8">
      <c r="B4" s="26" t="s">
        <v>445</v>
      </c>
      <c r="C4" s="26" t="s">
        <v>444</v>
      </c>
      <c r="D4" s="26" t="s">
        <v>443</v>
      </c>
      <c r="E4" s="26" t="s">
        <v>442</v>
      </c>
      <c r="F4" s="26" t="s">
        <v>441</v>
      </c>
      <c r="G4" s="26" t="s">
        <v>440</v>
      </c>
      <c r="H4" s="26" t="s">
        <v>439</v>
      </c>
    </row>
    <row r="5" spans="2:8">
      <c r="B5" s="69">
        <v>2</v>
      </c>
      <c r="C5" s="31">
        <v>1</v>
      </c>
      <c r="D5" s="21" t="s">
        <v>438</v>
      </c>
      <c r="E5" s="72" t="s">
        <v>437</v>
      </c>
      <c r="F5" s="76">
        <v>1300</v>
      </c>
      <c r="G5" s="76"/>
      <c r="H5" s="76"/>
    </row>
    <row r="6" spans="2:8">
      <c r="B6" s="69"/>
      <c r="C6" s="31">
        <v>2</v>
      </c>
      <c r="D6" s="21" t="s">
        <v>436</v>
      </c>
      <c r="E6" s="72"/>
      <c r="F6" s="76"/>
      <c r="G6" s="76"/>
      <c r="H6" s="76"/>
    </row>
    <row r="7" spans="2:8">
      <c r="B7" s="69"/>
      <c r="C7" s="31">
        <v>3</v>
      </c>
      <c r="D7" s="21" t="s">
        <v>435</v>
      </c>
      <c r="E7" s="72"/>
      <c r="F7" s="76"/>
      <c r="G7" s="76"/>
      <c r="H7" s="76"/>
    </row>
    <row r="8" spans="2:8">
      <c r="B8" s="69"/>
      <c r="C8" s="31">
        <v>4</v>
      </c>
      <c r="D8" s="21" t="s">
        <v>434</v>
      </c>
      <c r="E8" s="72"/>
      <c r="F8" s="76"/>
      <c r="G8" s="76"/>
      <c r="H8" s="76"/>
    </row>
    <row r="9" spans="2:8">
      <c r="B9" s="69"/>
      <c r="C9" s="31">
        <v>5</v>
      </c>
      <c r="D9" s="21" t="s">
        <v>433</v>
      </c>
      <c r="E9" s="72"/>
      <c r="F9" s="76"/>
      <c r="G9" s="76"/>
      <c r="H9" s="76"/>
    </row>
    <row r="10" spans="2:8">
      <c r="B10" s="69"/>
      <c r="C10" s="31">
        <v>6</v>
      </c>
      <c r="D10" s="21" t="s">
        <v>432</v>
      </c>
      <c r="E10" s="72"/>
      <c r="F10" s="76"/>
      <c r="G10" s="76"/>
      <c r="H10" s="76"/>
    </row>
    <row r="11" spans="2:8" ht="17.25" thickBot="1">
      <c r="B11" s="70"/>
      <c r="C11" s="32">
        <v>7</v>
      </c>
      <c r="D11" s="20" t="s">
        <v>431</v>
      </c>
      <c r="E11" s="73"/>
      <c r="F11" s="76"/>
      <c r="G11" s="76"/>
      <c r="H11" s="76"/>
    </row>
    <row r="12" spans="2:8">
      <c r="B12" s="68">
        <v>4</v>
      </c>
      <c r="C12" s="33">
        <v>1</v>
      </c>
      <c r="D12" s="22" t="s">
        <v>430</v>
      </c>
      <c r="E12" s="71" t="s">
        <v>429</v>
      </c>
      <c r="F12" s="76">
        <v>600</v>
      </c>
      <c r="G12" s="76"/>
      <c r="H12" s="76"/>
    </row>
    <row r="13" spans="2:8">
      <c r="B13" s="69"/>
      <c r="C13" s="31">
        <v>2</v>
      </c>
      <c r="D13" s="21" t="s">
        <v>428</v>
      </c>
      <c r="E13" s="72"/>
      <c r="F13" s="76"/>
      <c r="G13" s="76"/>
      <c r="H13" s="76"/>
    </row>
    <row r="14" spans="2:8">
      <c r="B14" s="69"/>
      <c r="C14" s="31">
        <v>3</v>
      </c>
      <c r="D14" s="21" t="s">
        <v>427</v>
      </c>
      <c r="E14" s="72"/>
      <c r="F14" s="76"/>
      <c r="G14" s="76"/>
      <c r="H14" s="76"/>
    </row>
    <row r="15" spans="2:8">
      <c r="B15" s="69"/>
      <c r="C15" s="31">
        <v>4</v>
      </c>
      <c r="D15" s="21" t="s">
        <v>426</v>
      </c>
      <c r="E15" s="72"/>
      <c r="F15" s="76"/>
      <c r="G15" s="76"/>
      <c r="H15" s="76"/>
    </row>
    <row r="16" spans="2:8">
      <c r="B16" s="69"/>
      <c r="C16" s="31">
        <v>5</v>
      </c>
      <c r="D16" s="21" t="s">
        <v>425</v>
      </c>
      <c r="E16" s="72"/>
      <c r="F16" s="76"/>
      <c r="G16" s="76"/>
      <c r="H16" s="76"/>
    </row>
    <row r="17" spans="2:8">
      <c r="B17" s="69"/>
      <c r="C17" s="31">
        <v>6</v>
      </c>
      <c r="D17" s="21" t="s">
        <v>424</v>
      </c>
      <c r="E17" s="72"/>
      <c r="F17" s="76"/>
      <c r="G17" s="76"/>
      <c r="H17" s="76"/>
    </row>
    <row r="18" spans="2:8" ht="17.25" thickBot="1">
      <c r="B18" s="70"/>
      <c r="C18" s="32">
        <v>7</v>
      </c>
      <c r="D18" s="20" t="s">
        <v>423</v>
      </c>
      <c r="E18" s="73"/>
      <c r="F18" s="76"/>
      <c r="G18" s="76"/>
      <c r="H18" s="76"/>
    </row>
    <row r="19" spans="2:8">
      <c r="B19" s="68">
        <v>6</v>
      </c>
      <c r="C19" s="33">
        <v>1</v>
      </c>
      <c r="D19" s="22" t="s">
        <v>422</v>
      </c>
      <c r="E19" s="71" t="s">
        <v>421</v>
      </c>
      <c r="F19" s="76">
        <v>250</v>
      </c>
      <c r="G19" s="76"/>
      <c r="H19" s="76"/>
    </row>
    <row r="20" spans="2:8">
      <c r="B20" s="69"/>
      <c r="C20" s="31">
        <v>2</v>
      </c>
      <c r="D20" s="21" t="s">
        <v>420</v>
      </c>
      <c r="E20" s="72"/>
      <c r="F20" s="76"/>
      <c r="G20" s="76"/>
      <c r="H20" s="76"/>
    </row>
    <row r="21" spans="2:8">
      <c r="B21" s="69"/>
      <c r="C21" s="31">
        <v>3</v>
      </c>
      <c r="D21" s="21" t="s">
        <v>419</v>
      </c>
      <c r="E21" s="72"/>
      <c r="F21" s="76"/>
      <c r="G21" s="76"/>
      <c r="H21" s="76"/>
    </row>
    <row r="22" spans="2:8">
      <c r="B22" s="69"/>
      <c r="C22" s="31">
        <v>4</v>
      </c>
      <c r="D22" s="21" t="s">
        <v>418</v>
      </c>
      <c r="E22" s="72"/>
      <c r="F22" s="76"/>
      <c r="G22" s="76"/>
      <c r="H22" s="76"/>
    </row>
    <row r="23" spans="2:8">
      <c r="B23" s="69"/>
      <c r="C23" s="31">
        <v>5</v>
      </c>
      <c r="D23" s="21" t="s">
        <v>417</v>
      </c>
      <c r="E23" s="72"/>
      <c r="F23" s="76"/>
      <c r="G23" s="76"/>
      <c r="H23" s="76"/>
    </row>
    <row r="24" spans="2:8">
      <c r="B24" s="69"/>
      <c r="C24" s="31">
        <v>6</v>
      </c>
      <c r="D24" s="21" t="s">
        <v>416</v>
      </c>
      <c r="E24" s="72"/>
      <c r="F24" s="76"/>
      <c r="G24" s="76"/>
      <c r="H24" s="76"/>
    </row>
    <row r="25" spans="2:8" ht="17.25" thickBot="1">
      <c r="B25" s="70"/>
      <c r="C25" s="32">
        <v>7</v>
      </c>
      <c r="D25" s="20" t="s">
        <v>415</v>
      </c>
      <c r="E25" s="73"/>
      <c r="F25" s="76"/>
      <c r="G25" s="76"/>
      <c r="H25" s="76"/>
    </row>
    <row r="26" spans="2:8">
      <c r="B26" s="66">
        <v>8</v>
      </c>
      <c r="C26" s="31">
        <v>1</v>
      </c>
      <c r="D26" s="21" t="s">
        <v>414</v>
      </c>
      <c r="E26" s="64" t="s">
        <v>413</v>
      </c>
      <c r="F26" s="76">
        <v>100</v>
      </c>
      <c r="G26" s="76"/>
      <c r="H26" s="76"/>
    </row>
    <row r="27" spans="2:8">
      <c r="B27" s="67"/>
      <c r="C27" s="31">
        <v>2</v>
      </c>
      <c r="D27" s="21" t="s">
        <v>412</v>
      </c>
      <c r="E27" s="65"/>
      <c r="F27" s="76"/>
      <c r="G27" s="76"/>
      <c r="H27" s="76"/>
    </row>
    <row r="28" spans="2:8">
      <c r="B28" s="67"/>
      <c r="C28" s="31">
        <v>3</v>
      </c>
      <c r="D28" s="25" t="s">
        <v>411</v>
      </c>
      <c r="E28" s="65"/>
      <c r="F28" s="76"/>
      <c r="G28" s="76"/>
      <c r="H28" s="76"/>
    </row>
    <row r="29" spans="2:8">
      <c r="B29" s="67"/>
      <c r="C29" s="31">
        <v>4</v>
      </c>
      <c r="D29" s="21" t="s">
        <v>410</v>
      </c>
      <c r="E29" s="65"/>
      <c r="F29" s="76"/>
      <c r="G29" s="76"/>
      <c r="H29" s="76"/>
    </row>
    <row r="30" spans="2:8">
      <c r="B30" s="67"/>
      <c r="C30" s="31">
        <v>5</v>
      </c>
      <c r="D30" s="21" t="s">
        <v>409</v>
      </c>
      <c r="E30" s="65"/>
      <c r="F30" s="76"/>
      <c r="G30" s="76"/>
      <c r="H30" s="76"/>
    </row>
    <row r="31" spans="2:8">
      <c r="B31" s="67"/>
      <c r="C31" s="31">
        <v>6</v>
      </c>
      <c r="D31" s="21" t="s">
        <v>408</v>
      </c>
      <c r="E31" s="65"/>
      <c r="F31" s="76"/>
      <c r="G31" s="76"/>
      <c r="H31" s="76"/>
    </row>
    <row r="32" spans="2:8">
      <c r="B32" s="67"/>
      <c r="C32" s="34">
        <v>7</v>
      </c>
      <c r="D32" s="24" t="s">
        <v>407</v>
      </c>
      <c r="E32" s="65"/>
      <c r="F32" s="76"/>
      <c r="G32" s="76"/>
      <c r="H32" s="76"/>
    </row>
    <row r="33" spans="2:8">
      <c r="B33" s="66">
        <v>10</v>
      </c>
      <c r="C33" s="31">
        <v>1</v>
      </c>
      <c r="D33" s="21" t="s">
        <v>406</v>
      </c>
      <c r="E33" s="64" t="s">
        <v>405</v>
      </c>
      <c r="F33" s="76">
        <v>60</v>
      </c>
      <c r="G33" s="76"/>
      <c r="H33" s="76"/>
    </row>
    <row r="34" spans="2:8">
      <c r="B34" s="67"/>
      <c r="C34" s="31">
        <v>2</v>
      </c>
      <c r="D34" s="21" t="s">
        <v>404</v>
      </c>
      <c r="E34" s="65"/>
      <c r="F34" s="76"/>
      <c r="G34" s="76"/>
      <c r="H34" s="76"/>
    </row>
    <row r="35" spans="2:8">
      <c r="B35" s="67"/>
      <c r="C35" s="31">
        <v>3</v>
      </c>
      <c r="D35" s="21" t="s">
        <v>403</v>
      </c>
      <c r="E35" s="65"/>
      <c r="F35" s="76"/>
      <c r="G35" s="76"/>
      <c r="H35" s="76"/>
    </row>
    <row r="36" spans="2:8">
      <c r="B36" s="67"/>
      <c r="C36" s="31">
        <v>4</v>
      </c>
      <c r="D36" s="21" t="s">
        <v>402</v>
      </c>
      <c r="E36" s="65"/>
      <c r="F36" s="76"/>
      <c r="G36" s="76"/>
      <c r="H36" s="76"/>
    </row>
    <row r="37" spans="2:8">
      <c r="B37" s="67"/>
      <c r="C37" s="31">
        <v>5</v>
      </c>
      <c r="D37" s="21" t="s">
        <v>401</v>
      </c>
      <c r="E37" s="65"/>
      <c r="F37" s="76"/>
      <c r="G37" s="76"/>
      <c r="H37" s="76"/>
    </row>
    <row r="38" spans="2:8">
      <c r="B38" s="67"/>
      <c r="C38" s="31">
        <v>6</v>
      </c>
      <c r="D38" s="23" t="s">
        <v>400</v>
      </c>
      <c r="E38" s="65"/>
      <c r="F38" s="76"/>
      <c r="G38" s="76"/>
      <c r="H38" s="76"/>
    </row>
    <row r="39" spans="2:8" ht="17.25" thickBot="1">
      <c r="B39" s="75"/>
      <c r="C39" s="32">
        <v>7</v>
      </c>
      <c r="D39" s="20" t="s">
        <v>399</v>
      </c>
      <c r="E39" s="74"/>
      <c r="F39" s="76"/>
      <c r="G39" s="76"/>
      <c r="H39" s="76"/>
    </row>
    <row r="40" spans="2:8">
      <c r="B40" s="67">
        <v>15</v>
      </c>
      <c r="C40" s="33">
        <v>1</v>
      </c>
      <c r="D40" s="22" t="s">
        <v>398</v>
      </c>
      <c r="E40" s="65" t="s">
        <v>397</v>
      </c>
      <c r="F40" s="76">
        <v>10</v>
      </c>
      <c r="G40" s="76"/>
      <c r="H40" s="76"/>
    </row>
    <row r="41" spans="2:8">
      <c r="B41" s="67"/>
      <c r="C41" s="31">
        <v>2</v>
      </c>
      <c r="D41" s="21" t="s">
        <v>396</v>
      </c>
      <c r="E41" s="65"/>
      <c r="F41" s="76"/>
      <c r="G41" s="76"/>
      <c r="H41" s="76"/>
    </row>
    <row r="42" spans="2:8">
      <c r="B42" s="67"/>
      <c r="C42" s="31">
        <v>3</v>
      </c>
      <c r="D42" s="21" t="s">
        <v>395</v>
      </c>
      <c r="E42" s="65"/>
      <c r="F42" s="76"/>
      <c r="G42" s="76"/>
      <c r="H42" s="76"/>
    </row>
    <row r="43" spans="2:8">
      <c r="B43" s="67"/>
      <c r="C43" s="31">
        <v>4</v>
      </c>
      <c r="D43" s="21" t="s">
        <v>394</v>
      </c>
      <c r="E43" s="65"/>
      <c r="F43" s="76"/>
      <c r="G43" s="76"/>
      <c r="H43" s="76"/>
    </row>
    <row r="44" spans="2:8">
      <c r="B44" s="67"/>
      <c r="C44" s="31">
        <v>5</v>
      </c>
      <c r="D44" s="21" t="s">
        <v>393</v>
      </c>
      <c r="E44" s="65"/>
      <c r="F44" s="76"/>
      <c r="G44" s="76"/>
      <c r="H44" s="76"/>
    </row>
    <row r="45" spans="2:8">
      <c r="B45" s="67"/>
      <c r="C45" s="31">
        <v>6</v>
      </c>
      <c r="D45" s="21" t="s">
        <v>392</v>
      </c>
      <c r="E45" s="65"/>
      <c r="F45" s="76"/>
      <c r="G45" s="76"/>
      <c r="H45" s="76"/>
    </row>
    <row r="46" spans="2:8" ht="17.25" thickBot="1">
      <c r="B46" s="75"/>
      <c r="C46" s="32">
        <v>7</v>
      </c>
      <c r="D46" s="20" t="s">
        <v>391</v>
      </c>
      <c r="E46" s="74"/>
      <c r="F46" s="76"/>
      <c r="G46" s="76"/>
      <c r="H46" s="76"/>
    </row>
    <row r="47" spans="2:8">
      <c r="B47" s="68">
        <v>20</v>
      </c>
      <c r="C47" s="33">
        <v>1</v>
      </c>
      <c r="D47" s="22" t="s">
        <v>390</v>
      </c>
      <c r="E47" s="71" t="s">
        <v>389</v>
      </c>
      <c r="F47" s="76">
        <v>2</v>
      </c>
      <c r="G47" s="76"/>
      <c r="H47" s="76"/>
    </row>
    <row r="48" spans="2:8">
      <c r="B48" s="69"/>
      <c r="C48" s="31">
        <v>2</v>
      </c>
      <c r="D48" s="21" t="s">
        <v>388</v>
      </c>
      <c r="E48" s="72"/>
      <c r="F48" s="76"/>
      <c r="G48" s="76"/>
      <c r="H48" s="76"/>
    </row>
    <row r="49" spans="2:8">
      <c r="B49" s="69"/>
      <c r="C49" s="31">
        <v>3</v>
      </c>
      <c r="D49" s="21" t="s">
        <v>387</v>
      </c>
      <c r="E49" s="72"/>
      <c r="F49" s="76"/>
      <c r="G49" s="76"/>
      <c r="H49" s="76"/>
    </row>
    <row r="50" spans="2:8">
      <c r="B50" s="69"/>
      <c r="C50" s="31">
        <v>4</v>
      </c>
      <c r="D50" s="21" t="s">
        <v>386</v>
      </c>
      <c r="E50" s="72"/>
      <c r="F50" s="76"/>
      <c r="G50" s="76"/>
      <c r="H50" s="76"/>
    </row>
    <row r="51" spans="2:8">
      <c r="B51" s="69"/>
      <c r="C51" s="31">
        <v>5</v>
      </c>
      <c r="D51" s="21" t="s">
        <v>385</v>
      </c>
      <c r="E51" s="72"/>
      <c r="F51" s="76"/>
      <c r="G51" s="76"/>
      <c r="H51" s="76"/>
    </row>
    <row r="52" spans="2:8">
      <c r="B52" s="69"/>
      <c r="C52" s="31">
        <v>6</v>
      </c>
      <c r="D52" s="21" t="s">
        <v>384</v>
      </c>
      <c r="E52" s="72"/>
      <c r="F52" s="76"/>
      <c r="G52" s="76"/>
      <c r="H52" s="76"/>
    </row>
    <row r="53" spans="2:8" ht="17.25" thickBot="1">
      <c r="B53" s="70"/>
      <c r="C53" s="32">
        <v>7</v>
      </c>
      <c r="D53" s="20" t="s">
        <v>383</v>
      </c>
      <c r="E53" s="73"/>
      <c r="F53" s="76"/>
      <c r="G53" s="76"/>
      <c r="H53" s="76"/>
    </row>
  </sheetData>
  <mergeCells count="35">
    <mergeCell ref="H5:H11"/>
    <mergeCell ref="G12:G18"/>
    <mergeCell ref="H12:H18"/>
    <mergeCell ref="G19:G25"/>
    <mergeCell ref="H19:H25"/>
    <mergeCell ref="H47:H53"/>
    <mergeCell ref="H26:H32"/>
    <mergeCell ref="G33:G39"/>
    <mergeCell ref="H33:H39"/>
    <mergeCell ref="G40:G46"/>
    <mergeCell ref="H40:H46"/>
    <mergeCell ref="F26:F32"/>
    <mergeCell ref="F33:F39"/>
    <mergeCell ref="F40:F46"/>
    <mergeCell ref="F47:F53"/>
    <mergeCell ref="G5:G11"/>
    <mergeCell ref="G26:G32"/>
    <mergeCell ref="G47:G53"/>
    <mergeCell ref="B5:B11"/>
    <mergeCell ref="E5:E11"/>
    <mergeCell ref="F5:F11"/>
    <mergeCell ref="F12:F18"/>
    <mergeCell ref="F19:F25"/>
    <mergeCell ref="B19:B25"/>
    <mergeCell ref="E19:E25"/>
    <mergeCell ref="E26:E32"/>
    <mergeCell ref="B26:B32"/>
    <mergeCell ref="B12:B18"/>
    <mergeCell ref="E12:E18"/>
    <mergeCell ref="B47:B53"/>
    <mergeCell ref="E47:E53"/>
    <mergeCell ref="E33:E39"/>
    <mergeCell ref="E40:E46"/>
    <mergeCell ref="B33:B39"/>
    <mergeCell ref="B40:B46"/>
  </mergeCells>
  <phoneticPr fontId="3" type="noConversion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1월</vt:lpstr>
      <vt:lpstr>2월</vt:lpstr>
      <vt:lpstr>상품목록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김소연</dc:creator>
  <cp:lastModifiedBy>김소연</cp:lastModifiedBy>
  <dcterms:created xsi:type="dcterms:W3CDTF">2026-02-12T01:01:35Z</dcterms:created>
  <dcterms:modified xsi:type="dcterms:W3CDTF">2026-03-05T01:27:33Z</dcterms:modified>
</cp:coreProperties>
</file>