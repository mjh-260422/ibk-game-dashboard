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890" windowWidth="29040" windowHeight="15720" tabRatio="600" firstSheet="0" activeTab="0" autoFilterDateGrouping="1"/>
  </bookViews>
  <sheets>
    <sheet xmlns:r="http://schemas.openxmlformats.org/officeDocument/2006/relationships" name="견적서" sheetId="1" state="visible" r:id="rId1"/>
  </sheets>
  <definedNames>
    <definedName name="_xlnm.Print_Area" localSheetId="0">'견적서'!$B$2:$AB$22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#,##0_ 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굴림체"/>
      <charset val="129"/>
      <family val="3"/>
      <sz val="8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26"/>
      <scheme val="minor"/>
    </font>
    <font>
      <name val="맑은 고딕"/>
      <charset val="129"/>
      <family val="3"/>
      <sz val="12"/>
      <scheme val="minor"/>
    </font>
    <font>
      <name val="맑은 고딕"/>
      <charset val="129"/>
      <family val="3"/>
      <b val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1" fillId="0" borderId="0" applyAlignment="1">
      <alignment vertical="center"/>
    </xf>
    <xf numFmtId="41" fontId="1" fillId="0" borderId="0" applyAlignment="1">
      <alignment vertical="center"/>
    </xf>
  </cellStyleXfs>
  <cellXfs count="94">
    <xf numFmtId="0" fontId="0" fillId="0" borderId="0" applyAlignment="1" pivotButton="0" quotePrefix="0" xfId="0">
      <alignment vertical="center"/>
    </xf>
    <xf numFmtId="164" fontId="4" fillId="0" borderId="1" applyAlignment="1" pivotButton="0" quotePrefix="0" xfId="1">
      <alignment horizontal="center" vertical="center"/>
    </xf>
    <xf numFmtId="9" fontId="4" fillId="0" borderId="3" applyAlignment="1" pivotButton="0" quotePrefix="0" xfId="1">
      <alignment vertical="center"/>
    </xf>
    <xf numFmtId="0" fontId="4" fillId="0" borderId="18" applyAlignment="1" pivotButton="0" quotePrefix="0" xfId="0">
      <alignment horizontal="center" vertical="center" wrapText="1"/>
    </xf>
    <xf numFmtId="165" fontId="4" fillId="0" borderId="3" applyAlignment="1" pivotButton="0" quotePrefix="0" xfId="1">
      <alignment vertical="center"/>
    </xf>
    <xf numFmtId="0" fontId="6" fillId="0" borderId="6" applyAlignment="1" pivotButton="0" quotePrefix="0" xfId="0">
      <alignment vertical="center"/>
    </xf>
    <xf numFmtId="0" fontId="6" fillId="0" borderId="7" applyAlignment="1" pivotButton="0" quotePrefix="0" xfId="0">
      <alignment vertical="center"/>
    </xf>
    <xf numFmtId="0" fontId="6" fillId="0" borderId="7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166" fontId="10" fillId="3" borderId="10" applyAlignment="1" pivotButton="0" quotePrefix="0" xfId="0">
      <alignment horizontal="center" vertical="center"/>
    </xf>
    <xf numFmtId="166" fontId="10" fillId="3" borderId="13" applyAlignment="1" pivotButton="0" quotePrefix="0" xfId="0">
      <alignment horizontal="center" vertical="center"/>
    </xf>
    <xf numFmtId="0" fontId="10" fillId="3" borderId="14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4" fontId="4" fillId="0" borderId="3" applyAlignment="1" pivotButton="0" quotePrefix="0" xfId="1">
      <alignment horizontal="center" vertical="center"/>
    </xf>
    <xf numFmtId="164" fontId="4" fillId="0" borderId="5" applyAlignment="1" pivotButton="0" quotePrefix="0" xfId="1">
      <alignment horizontal="center" vertical="center"/>
    </xf>
    <xf numFmtId="164" fontId="4" fillId="0" borderId="4" applyAlignment="1" pivotButton="0" quotePrefix="0" xfId="1">
      <alignment horizontal="center" vertical="center"/>
    </xf>
    <xf numFmtId="0" fontId="4" fillId="0" borderId="15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4" fillId="0" borderId="1" applyAlignment="1" pivotButton="0" quotePrefix="0" xfId="1">
      <alignment vertical="center"/>
    </xf>
    <xf numFmtId="0" fontId="4" fillId="0" borderId="2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166" fontId="10" fillId="3" borderId="9" applyAlignment="1" pivotButton="0" quotePrefix="0" xfId="0">
      <alignment horizontal="center" vertical="center"/>
    </xf>
    <xf numFmtId="166" fontId="10" fillId="3" borderId="10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0" fillId="3" borderId="22" applyAlignment="1" pivotButton="0" quotePrefix="0" xfId="0">
      <alignment horizontal="center" vertical="center"/>
    </xf>
    <xf numFmtId="0" fontId="10" fillId="3" borderId="2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9" fillId="0" borderId="19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6" applyAlignment="1" pivotButton="0" quotePrefix="0" xfId="0">
      <alignment horizontal="center" vertical="center" wrapText="1"/>
    </xf>
    <xf numFmtId="0" fontId="4" fillId="0" borderId="17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3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18" applyAlignment="1" pivotButton="0" quotePrefix="0" xfId="0">
      <alignment horizontal="center" vertical="center"/>
    </xf>
    <xf numFmtId="0" fontId="10" fillId="2" borderId="25" applyAlignment="1" pivotButton="0" quotePrefix="0" xfId="0">
      <alignment horizontal="center" vertical="center"/>
    </xf>
    <xf numFmtId="0" fontId="10" fillId="2" borderId="26" applyAlignment="1" pivotButton="0" quotePrefix="0" xfId="0">
      <alignment horizontal="center" vertical="center"/>
    </xf>
    <xf numFmtId="0" fontId="4" fillId="2" borderId="27" applyAlignment="1" pivotButton="0" quotePrefix="0" xfId="0">
      <alignment horizontal="center" vertical="center"/>
    </xf>
    <xf numFmtId="0" fontId="4" fillId="2" borderId="28" applyAlignment="1" pivotButton="0" quotePrefix="0" xfId="0">
      <alignment horizontal="center" vertical="center"/>
    </xf>
    <xf numFmtId="0" fontId="4" fillId="2" borderId="29" applyAlignment="1" pivotButton="0" quotePrefix="0" xfId="0">
      <alignment horizontal="center" vertical="center"/>
    </xf>
    <xf numFmtId="0" fontId="5" fillId="2" borderId="26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/>
    </xf>
    <xf numFmtId="0" fontId="5" fillId="2" borderId="27" applyAlignment="1" pivotButton="0" quotePrefix="0" xfId="0">
      <alignment horizontal="center" vertical="center"/>
    </xf>
    <xf numFmtId="0" fontId="5" fillId="2" borderId="30" applyAlignment="1" pivotButton="0" quotePrefix="0" xfId="0">
      <alignment horizontal="center" vertical="center"/>
    </xf>
    <xf numFmtId="0" fontId="4" fillId="4" borderId="15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4" fillId="4" borderId="18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12" pivotButton="0" quotePrefix="0" xfId="0"/>
    <xf numFmtId="0" fontId="4" fillId="0" borderId="36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8" pivotButton="0" quotePrefix="0" xfId="0"/>
    <xf numFmtId="0" fontId="0" fillId="0" borderId="17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1" pivotButton="0" quotePrefix="0" xfId="0"/>
    <xf numFmtId="0" fontId="0" fillId="0" borderId="32" pivotButton="0" quotePrefix="0" xfId="0"/>
    <xf numFmtId="166" fontId="10" fillId="3" borderId="9" applyAlignment="1" pivotButton="0" quotePrefix="0" xfId="0">
      <alignment horizontal="center" vertical="center"/>
    </xf>
    <xf numFmtId="166" fontId="10" fillId="3" borderId="10" applyAlignment="1" pivotButton="0" quotePrefix="0" xfId="0">
      <alignment horizontal="center" vertical="center"/>
    </xf>
    <xf numFmtId="166" fontId="10" fillId="3" borderId="13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4" fillId="0" borderId="1" applyAlignment="1" pivotButton="0" quotePrefix="0" xfId="1">
      <alignment horizontal="center" vertical="center"/>
    </xf>
    <xf numFmtId="164" fontId="4" fillId="0" borderId="1" applyAlignment="1" pivotButton="0" quotePrefix="0" xfId="1">
      <alignment vertical="center"/>
    </xf>
    <xf numFmtId="165" fontId="4" fillId="0" borderId="3" applyAlignment="1" pivotButton="0" quotePrefix="0" xfId="1">
      <alignment vertical="center"/>
    </xf>
    <xf numFmtId="0" fontId="5" fillId="0" borderId="15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9" pivotButton="0" quotePrefix="0" xfId="0"/>
    <xf numFmtId="0" fontId="4" fillId="2" borderId="26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</cellXfs>
  <cellStyles count="2">
    <cellStyle name="표준" xfId="0" builtinId="0"/>
    <cellStyle name="쉼표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2</col>
      <colOff>173990</colOff>
      <row>1</row>
      <rowOff>38101</rowOff>
    </from>
    <to>
      <col>11</col>
      <colOff>182245</colOff>
      <row>3</row>
      <rowOff>56030</rowOff>
    </to>
    <pic>
      <nvPicPr>
        <cNvPr id="2" name="그림 2" descr="New_CI_Small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26440" y="266701"/>
          <a:ext cx="2227580" cy="66562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tabSelected="1" zoomScale="115" zoomScaleNormal="115" zoomScaleSheetLayoutView="85" zoomScalePageLayoutView="55" workbookViewId="0">
      <selection activeCell="P20" sqref="P20"/>
    </sheetView>
  </sheetViews>
  <sheetFormatPr baseColWidth="8" defaultColWidth="3.58203125" defaultRowHeight="18" customHeight="1"/>
  <cols>
    <col width="3.58203125" customWidth="1" style="8" min="1" max="10"/>
    <col width="0.08203125" customWidth="1" style="8" min="11" max="11"/>
    <col width="33.58203125" customWidth="1" style="8" min="12" max="12"/>
    <col width="11.33203125" customWidth="1" style="8" min="13" max="13"/>
    <col width="7.25" customWidth="1" style="8" min="14" max="14"/>
    <col width="4.08203125" customWidth="1" style="8" min="15" max="15"/>
    <col width="15.75" customWidth="1" style="13" min="16" max="16"/>
    <col width="5.08203125" customWidth="1" style="8" min="17" max="17"/>
    <col width="4.5" customWidth="1" style="8" min="18" max="18"/>
    <col width="5.25" customWidth="1" style="8" min="19" max="19"/>
    <col width="12.9140625" customWidth="1" style="8" min="20" max="20"/>
    <col hidden="1" width="8.83203125" customWidth="1" style="8" min="21" max="21"/>
    <col width="0.58203125" customWidth="1" style="8" min="22" max="22"/>
    <col width="3.5" customWidth="1" style="8" min="23" max="23"/>
    <col width="4.58203125" customWidth="1" style="8" min="24" max="24"/>
    <col width="10.75" customWidth="1" style="8" min="25" max="25"/>
    <col width="4.1640625" customWidth="1" style="8" min="26" max="26"/>
    <col width="1.33203125" customWidth="1" style="8" min="27" max="27"/>
    <col width="21.33203125" customWidth="1" style="8" min="28" max="28"/>
    <col width="6" bestFit="1" customWidth="1" style="8" min="29" max="29"/>
    <col width="3.58203125" customWidth="1" style="8" min="30" max="16384"/>
  </cols>
  <sheetData>
    <row r="1" ht="18" customHeight="1" s="65">
      <c r="A1" s="5" t="n"/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7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 ht="26.15" customHeight="1" s="65">
      <c r="A2" s="9" t="n"/>
      <c r="B2" s="31" t="inlineStr">
        <is>
          <t>종합 견적서</t>
        </is>
      </c>
    </row>
    <row r="3" ht="26.15" customHeight="1" s="65">
      <c r="A3" s="9" t="n"/>
    </row>
    <row r="4" ht="26.15" customHeight="1" s="65" thickBot="1">
      <c r="A4" s="9" t="n"/>
    </row>
    <row r="5" ht="38.65" customHeight="1" s="65">
      <c r="A5" s="9" t="n"/>
      <c r="B5" s="33" t="inlineStr">
        <is>
          <t>2025년 12월 15일
아래와 같이 견적합니다.</t>
        </is>
      </c>
      <c r="C5" s="66" t="n"/>
      <c r="D5" s="66" t="n"/>
      <c r="E5" s="66" t="n"/>
      <c r="F5" s="66" t="n"/>
      <c r="G5" s="66" t="n"/>
      <c r="H5" s="66" t="n"/>
      <c r="I5" s="66" t="n"/>
      <c r="J5" s="66" t="n"/>
      <c r="K5" s="66" t="n"/>
      <c r="L5" s="67" t="n"/>
      <c r="M5" s="68" t="inlineStr">
        <is>
          <t>공
급
자</t>
        </is>
      </c>
      <c r="N5" s="67" t="n"/>
      <c r="O5" s="43" t="inlineStr">
        <is>
          <t>등록번호</t>
        </is>
      </c>
      <c r="P5" s="69" t="n"/>
      <c r="Q5" s="69" t="n"/>
      <c r="R5" s="70" t="n"/>
      <c r="S5" s="43" t="inlineStr">
        <is>
          <t>214-88-78503</t>
        </is>
      </c>
      <c r="T5" s="69" t="n"/>
      <c r="U5" s="69" t="n"/>
      <c r="V5" s="69" t="n"/>
      <c r="W5" s="69" t="n"/>
      <c r="X5" s="69" t="n"/>
      <c r="Y5" s="69" t="n"/>
      <c r="Z5" s="69" t="n"/>
      <c r="AA5" s="69" t="n"/>
      <c r="AB5" s="70" t="n"/>
    </row>
    <row r="6" ht="38.65" customHeight="1" s="65">
      <c r="A6" s="9" t="n"/>
      <c r="B6" s="71" t="n"/>
      <c r="L6" s="72" t="n"/>
      <c r="M6" s="73" t="n"/>
      <c r="N6" s="72" t="n"/>
      <c r="O6" s="46" t="inlineStr">
        <is>
          <t>상호 (법인명)</t>
        </is>
      </c>
      <c r="P6" s="74" t="n"/>
      <c r="Q6" s="74" t="n"/>
      <c r="R6" s="75" t="n"/>
      <c r="S6" s="18" t="inlineStr">
        <is>
          <t>㈜ 윈큐브마케팅</t>
        </is>
      </c>
      <c r="T6" s="74" t="n"/>
      <c r="U6" s="74" t="n"/>
      <c r="V6" s="75" t="n"/>
      <c r="W6" s="18" t="inlineStr">
        <is>
          <t>대표자</t>
        </is>
      </c>
      <c r="X6" s="75" t="n"/>
      <c r="Y6" s="46" t="inlineStr">
        <is>
          <t>김 성 필 (직인생략 )</t>
        </is>
      </c>
      <c r="Z6" s="74" t="n"/>
      <c r="AA6" s="74" t="n"/>
      <c r="AB6" s="75" t="n"/>
    </row>
    <row r="7" ht="38.65" customHeight="1" s="65">
      <c r="A7" s="9" t="n"/>
      <c r="B7" s="71" t="n"/>
      <c r="L7" s="72" t="n"/>
      <c r="M7" s="73" t="n"/>
      <c r="N7" s="72" t="n"/>
      <c r="O7" s="18" t="inlineStr">
        <is>
          <t>사 업 장</t>
        </is>
      </c>
      <c r="P7" s="74" t="n"/>
      <c r="Q7" s="74" t="n"/>
      <c r="R7" s="75" t="n"/>
      <c r="S7" s="18" t="inlineStr">
        <is>
          <t>서울시 서초구 방배로 42길 61, 4층</t>
        </is>
      </c>
      <c r="T7" s="74" t="n"/>
      <c r="U7" s="74" t="n"/>
      <c r="V7" s="74" t="n"/>
      <c r="W7" s="74" t="n"/>
      <c r="X7" s="74" t="n"/>
      <c r="Y7" s="74" t="n"/>
      <c r="Z7" s="74" t="n"/>
      <c r="AA7" s="74" t="n"/>
      <c r="AB7" s="75" t="n"/>
    </row>
    <row r="8" ht="38.65" customHeight="1" s="65">
      <c r="A8" s="9" t="n"/>
      <c r="B8" s="71" t="n"/>
      <c r="L8" s="72" t="n"/>
      <c r="M8" s="73" t="n"/>
      <c r="N8" s="72" t="n"/>
      <c r="O8" s="18" t="inlineStr">
        <is>
          <t>업 태</t>
        </is>
      </c>
      <c r="P8" s="74" t="n"/>
      <c r="Q8" s="74" t="n"/>
      <c r="R8" s="75" t="n"/>
      <c r="S8" s="18" t="inlineStr">
        <is>
          <t>서비스</t>
        </is>
      </c>
      <c r="T8" s="74" t="n"/>
      <c r="U8" s="74" t="n"/>
      <c r="V8" s="75" t="n"/>
      <c r="W8" s="18" t="inlineStr">
        <is>
          <t>종목</t>
        </is>
      </c>
      <c r="X8" s="75" t="n"/>
      <c r="Y8" s="46" t="inlineStr">
        <is>
          <t>상품권 및 쿠폰발행유통 외</t>
        </is>
      </c>
      <c r="Z8" s="74" t="n"/>
      <c r="AA8" s="74" t="n"/>
      <c r="AB8" s="75" t="n"/>
    </row>
    <row r="9" ht="38.65" customHeight="1" s="65" thickBot="1">
      <c r="A9" s="9" t="n"/>
      <c r="B9" s="76" t="n"/>
      <c r="C9" s="77" t="n"/>
      <c r="D9" s="77" t="n"/>
      <c r="E9" s="77" t="n"/>
      <c r="F9" s="77" t="n"/>
      <c r="G9" s="77" t="n"/>
      <c r="H9" s="77" t="n"/>
      <c r="I9" s="77" t="n"/>
      <c r="J9" s="77" t="n"/>
      <c r="K9" s="77" t="n"/>
      <c r="L9" s="78" t="n"/>
      <c r="M9" s="73" t="n"/>
      <c r="N9" s="72" t="n"/>
      <c r="O9" s="23" t="inlineStr">
        <is>
          <t>전화번호</t>
        </is>
      </c>
      <c r="P9" s="79" t="n"/>
      <c r="Q9" s="79" t="n"/>
      <c r="R9" s="80" t="n"/>
      <c r="S9" s="23" t="inlineStr">
        <is>
          <t>010-6587-3655</t>
        </is>
      </c>
      <c r="T9" s="79" t="n"/>
      <c r="U9" s="79" t="n"/>
      <c r="V9" s="79" t="n"/>
      <c r="W9" s="79" t="n"/>
      <c r="X9" s="79" t="n"/>
      <c r="Y9" s="79" t="n"/>
      <c r="Z9" s="79" t="n"/>
      <c r="AA9" s="79" t="n"/>
      <c r="AB9" s="80" t="n"/>
    </row>
    <row r="10" ht="19.9" customHeight="1" s="65">
      <c r="A10" s="9" t="n"/>
      <c r="B10" s="81" t="inlineStr">
        <is>
          <t>상     품     명</t>
        </is>
      </c>
      <c r="C10" s="69" t="n"/>
      <c r="D10" s="69" t="n"/>
      <c r="E10" s="69" t="n"/>
      <c r="F10" s="69" t="n"/>
      <c r="G10" s="69" t="n"/>
      <c r="H10" s="69" t="n"/>
      <c r="I10" s="69" t="n"/>
      <c r="J10" s="69" t="n"/>
      <c r="K10" s="69" t="n"/>
      <c r="L10" s="70" t="n"/>
      <c r="M10" s="82" t="inlineStr">
        <is>
          <t>정상가</t>
        </is>
      </c>
      <c r="N10" s="82" t="inlineStr">
        <is>
          <t>수량</t>
        </is>
      </c>
      <c r="O10" s="70" t="n"/>
      <c r="P10" s="83" t="inlineStr">
        <is>
          <t>할인율</t>
        </is>
      </c>
      <c r="Q10" s="82" t="inlineStr">
        <is>
          <t>할인 적용 단가</t>
        </is>
      </c>
      <c r="R10" s="69" t="n"/>
      <c r="S10" s="70" t="n"/>
      <c r="T10" s="84" t="inlineStr">
        <is>
          <t>할인 적용 합계</t>
        </is>
      </c>
      <c r="U10" s="69" t="n"/>
      <c r="V10" s="69" t="n"/>
      <c r="W10" s="69" t="n"/>
      <c r="X10" s="70" t="n"/>
      <c r="Y10" s="84" t="inlineStr">
        <is>
          <t>부가세</t>
        </is>
      </c>
      <c r="Z10" s="69" t="n"/>
      <c r="AA10" s="70" t="n"/>
      <c r="AB10" s="12" t="inlineStr">
        <is>
          <t>비고</t>
        </is>
      </c>
    </row>
    <row r="11" ht="19.9" customHeight="1" s="65">
      <c r="A11" s="9" t="n"/>
      <c r="B11" s="17" t="inlineStr">
        <is>
          <t>올리브영</t>
        </is>
      </c>
      <c r="C11" s="74" t="n"/>
      <c r="D11" s="74" t="n"/>
      <c r="E11" s="74" t="n"/>
      <c r="F11" s="75" t="n"/>
      <c r="G11" s="85" t="inlineStr">
        <is>
          <t>올리브영 교환권 3만원</t>
        </is>
      </c>
      <c r="H11" s="74" t="n"/>
      <c r="I11" s="74" t="n"/>
      <c r="J11" s="74" t="n"/>
      <c r="K11" s="74" t="n"/>
      <c r="L11" s="75" t="n"/>
      <c r="M11" s="86" t="n">
        <v>30000</v>
      </c>
      <c r="N11" s="87" t="n">
        <v>70</v>
      </c>
      <c r="O11" s="75" t="n"/>
      <c r="P11" s="88" t="n">
        <v>0.015</v>
      </c>
      <c r="Q11" s="86">
        <f>M11-(M11*P11)</f>
        <v/>
      </c>
      <c r="R11" s="74" t="n"/>
      <c r="S11" s="75" t="n"/>
      <c r="T11" s="86">
        <f>N11*Q11</f>
        <v/>
      </c>
      <c r="U11" s="74" t="n"/>
      <c r="V11" s="74" t="n"/>
      <c r="W11" s="74" t="n"/>
      <c r="X11" s="75" t="n"/>
      <c r="Y11" s="86" t="inlineStr">
        <is>
          <t>비과세</t>
        </is>
      </c>
      <c r="Z11" s="74" t="n"/>
      <c r="AA11" s="75" t="n"/>
      <c r="AB11" s="3" t="inlineStr">
        <is>
          <t>유효기간 60일</t>
        </is>
      </c>
    </row>
    <row r="12" ht="19.9" customHeight="1" s="65">
      <c r="A12" s="9" t="n"/>
      <c r="B12" s="17" t="inlineStr">
        <is>
          <t>농촌사랑</t>
        </is>
      </c>
      <c r="C12" s="74" t="n"/>
      <c r="D12" s="74" t="n"/>
      <c r="E12" s="74" t="n"/>
      <c r="F12" s="75" t="n"/>
      <c r="G12" s="85" t="inlineStr">
        <is>
          <t>농촌사랑 상품권 3만원</t>
        </is>
      </c>
      <c r="H12" s="74" t="n"/>
      <c r="I12" s="74" t="n"/>
      <c r="J12" s="74" t="n"/>
      <c r="K12" s="74" t="n"/>
      <c r="L12" s="75" t="n"/>
      <c r="M12" s="86" t="n">
        <v>30000</v>
      </c>
      <c r="N12" s="87" t="n">
        <v>40</v>
      </c>
      <c r="O12" s="75" t="n"/>
      <c r="P12" s="88" t="n">
        <v>0</v>
      </c>
      <c r="Q12" s="86">
        <f>M12-(M12*P12)</f>
        <v/>
      </c>
      <c r="R12" s="74" t="n"/>
      <c r="S12" s="75" t="n"/>
      <c r="T12" s="86">
        <f>N12*Q12</f>
        <v/>
      </c>
      <c r="U12" s="74" t="n"/>
      <c r="V12" s="74" t="n"/>
      <c r="W12" s="74" t="n"/>
      <c r="X12" s="75" t="n"/>
      <c r="Y12" s="86" t="inlineStr">
        <is>
          <t>비과세</t>
        </is>
      </c>
      <c r="Z12" s="74" t="n"/>
      <c r="AA12" s="75" t="n"/>
      <c r="AB12" s="3" t="inlineStr">
        <is>
          <t>유효기간 60일</t>
        </is>
      </c>
    </row>
    <row r="13" ht="19.9" customHeight="1" s="65">
      <c r="A13" s="9" t="n"/>
      <c r="B13" s="17" t="inlineStr">
        <is>
          <t>CU</t>
        </is>
      </c>
      <c r="C13" s="74" t="n"/>
      <c r="D13" s="74" t="n"/>
      <c r="E13" s="74" t="n"/>
      <c r="F13" s="75" t="n"/>
      <c r="G13" s="85" t="inlineStr">
        <is>
          <t>CU 편의점 교환권 5천원</t>
        </is>
      </c>
      <c r="H13" s="74" t="n"/>
      <c r="I13" s="74" t="n"/>
      <c r="J13" s="74" t="n"/>
      <c r="K13" s="74" t="n"/>
      <c r="L13" s="75" t="n"/>
      <c r="M13" s="86" t="n">
        <v>5000</v>
      </c>
      <c r="N13" s="87" t="n">
        <v>585</v>
      </c>
      <c r="O13" s="75" t="n"/>
      <c r="P13" s="88" t="n">
        <v>0.08</v>
      </c>
      <c r="Q13" s="86">
        <f>M13-(M13*P13)</f>
        <v/>
      </c>
      <c r="R13" s="74" t="n"/>
      <c r="S13" s="75" t="n"/>
      <c r="T13" s="86">
        <f>N13*Q13</f>
        <v/>
      </c>
      <c r="U13" s="74" t="n"/>
      <c r="V13" s="74" t="n"/>
      <c r="W13" s="74" t="n"/>
      <c r="X13" s="75" t="n"/>
      <c r="Y13" s="86" t="inlineStr">
        <is>
          <t>비과세</t>
        </is>
      </c>
      <c r="Z13" s="74" t="n"/>
      <c r="AA13" s="75" t="n"/>
      <c r="AB13" s="3" t="inlineStr">
        <is>
          <t>유효기간 60일</t>
        </is>
      </c>
    </row>
    <row r="14" ht="19.9" customHeight="1" s="65">
      <c r="A14" s="9" t="n"/>
      <c r="B14" s="17" t="inlineStr">
        <is>
          <t>-</t>
        </is>
      </c>
      <c r="C14" s="74" t="n"/>
      <c r="D14" s="74" t="n"/>
      <c r="E14" s="74" t="n"/>
      <c r="F14" s="75" t="n"/>
      <c r="G14" s="85" t="inlineStr">
        <is>
          <t>골드바(24K) 반돈</t>
        </is>
      </c>
      <c r="H14" s="74" t="n"/>
      <c r="I14" s="74" t="n"/>
      <c r="J14" s="74" t="n"/>
      <c r="K14" s="74" t="n"/>
      <c r="L14" s="75" t="n"/>
      <c r="M14" s="86" t="n">
        <v>480000</v>
      </c>
      <c r="N14" s="87" t="n">
        <v>7</v>
      </c>
      <c r="O14" s="75" t="n"/>
      <c r="P14" s="88" t="n">
        <v>0</v>
      </c>
      <c r="Q14" s="86">
        <f>M14-(M14*P14)</f>
        <v/>
      </c>
      <c r="R14" s="74" t="n"/>
      <c r="S14" s="75" t="n"/>
      <c r="T14" s="86">
        <f>N14*Q14</f>
        <v/>
      </c>
      <c r="U14" s="74" t="n"/>
      <c r="V14" s="74" t="n"/>
      <c r="W14" s="74" t="n"/>
      <c r="X14" s="75" t="n"/>
      <c r="Y14" s="86" t="inlineStr">
        <is>
          <t>포함</t>
        </is>
      </c>
      <c r="Z14" s="74" t="n"/>
      <c r="AA14" s="75" t="n"/>
      <c r="AB14" s="3" t="n"/>
    </row>
    <row r="15" ht="19.9" customHeight="1" s="65">
      <c r="A15" s="9" t="n"/>
      <c r="B15" s="17" t="inlineStr">
        <is>
          <t>-</t>
        </is>
      </c>
      <c r="C15" s="74" t="n"/>
      <c r="D15" s="74" t="n"/>
      <c r="E15" s="74" t="n"/>
      <c r="F15" s="75" t="n"/>
      <c r="G15" s="85" t="inlineStr">
        <is>
          <t>제세공과금</t>
        </is>
      </c>
      <c r="H15" s="74" t="n"/>
      <c r="I15" s="74" t="n"/>
      <c r="J15" s="74" t="n"/>
      <c r="K15" s="74" t="n"/>
      <c r="L15" s="75" t="n"/>
      <c r="M15" s="86">
        <f>M14*22%</f>
        <v/>
      </c>
      <c r="N15" s="87" t="n">
        <v>7</v>
      </c>
      <c r="O15" s="75" t="n"/>
      <c r="P15" s="88" t="n">
        <v>0</v>
      </c>
      <c r="Q15" s="86">
        <f>M15-(M15*P15)</f>
        <v/>
      </c>
      <c r="R15" s="74" t="n"/>
      <c r="S15" s="75" t="n"/>
      <c r="T15" s="86">
        <f>N15*Q15</f>
        <v/>
      </c>
      <c r="U15" s="74" t="n"/>
      <c r="V15" s="74" t="n"/>
      <c r="W15" s="74" t="n"/>
      <c r="X15" s="75" t="n"/>
      <c r="Y15" s="86" t="inlineStr">
        <is>
          <t>-</t>
        </is>
      </c>
      <c r="Z15" s="74" t="n"/>
      <c r="AA15" s="75" t="n"/>
      <c r="AB15" s="3" t="inlineStr">
        <is>
          <t>상품 금액의 22%</t>
        </is>
      </c>
    </row>
    <row r="16" ht="19.9" customHeight="1" s="65">
      <c r="A16" s="9" t="n"/>
      <c r="B16" s="17" t="inlineStr">
        <is>
          <t>-</t>
        </is>
      </c>
      <c r="C16" s="74" t="n"/>
      <c r="D16" s="74" t="n"/>
      <c r="E16" s="74" t="n"/>
      <c r="F16" s="75" t="n"/>
      <c r="G16" s="85" t="inlineStr">
        <is>
          <t>실물 상품 운영비</t>
        </is>
      </c>
      <c r="H16" s="74" t="n"/>
      <c r="I16" s="74" t="n"/>
      <c r="J16" s="74" t="n"/>
      <c r="K16" s="74" t="n"/>
      <c r="L16" s="75" t="n"/>
      <c r="M16" s="86">
        <f>T14*5%</f>
        <v/>
      </c>
      <c r="N16" s="87" t="n">
        <v>1</v>
      </c>
      <c r="O16" s="75" t="n"/>
      <c r="P16" s="88" t="n">
        <v>0</v>
      </c>
      <c r="Q16" s="86">
        <f>M16-(M16*P16)</f>
        <v/>
      </c>
      <c r="R16" s="74" t="n"/>
      <c r="S16" s="75" t="n"/>
      <c r="T16" s="86">
        <f>N16*Q16</f>
        <v/>
      </c>
      <c r="U16" s="74" t="n"/>
      <c r="V16" s="74" t="n"/>
      <c r="W16" s="74" t="n"/>
      <c r="X16" s="75" t="n"/>
      <c r="Y16" s="86" t="inlineStr">
        <is>
          <t>포함</t>
        </is>
      </c>
      <c r="Z16" s="74" t="n"/>
      <c r="AA16" s="75" t="n"/>
      <c r="AB16" s="3" t="n"/>
    </row>
    <row r="17" ht="19.9" customHeight="1" s="65">
      <c r="A17" s="9" t="n"/>
      <c r="B17" s="89" t="inlineStr">
        <is>
          <t>합계</t>
        </is>
      </c>
      <c r="C17" s="74" t="n"/>
      <c r="D17" s="74" t="n"/>
      <c r="E17" s="74" t="n"/>
      <c r="F17" s="74" t="n"/>
      <c r="G17" s="74" t="n"/>
      <c r="H17" s="74" t="n"/>
      <c r="I17" s="74" t="n"/>
      <c r="J17" s="74" t="n"/>
      <c r="K17" s="74" t="n"/>
      <c r="L17" s="75" t="n"/>
      <c r="M17" s="86" t="n"/>
      <c r="N17" s="87">
        <f>SUM(N11:O16)</f>
        <v/>
      </c>
      <c r="O17" s="75" t="n"/>
      <c r="P17" s="2" t="n"/>
      <c r="Q17" s="86" t="n"/>
      <c r="R17" s="74" t="n"/>
      <c r="S17" s="75" t="n"/>
      <c r="T17" s="86">
        <f>SUM(T11:X16)</f>
        <v/>
      </c>
      <c r="U17" s="74" t="n"/>
      <c r="V17" s="74" t="n"/>
      <c r="W17" s="74" t="n"/>
      <c r="X17" s="75" t="n"/>
      <c r="Y17" s="86" t="n"/>
      <c r="Z17" s="74" t="n"/>
      <c r="AA17" s="75" t="n"/>
      <c r="AB17" s="3" t="n"/>
    </row>
    <row r="18" ht="10.15" customHeight="1" s="65">
      <c r="A18" s="9" t="n"/>
      <c r="B18" s="60" t="n"/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  <c r="AB18" s="75" t="n"/>
    </row>
    <row r="19" ht="36.65" customHeight="1" s="65" thickBot="1">
      <c r="A19" s="9" t="n"/>
      <c r="B19" s="51" t="inlineStr">
        <is>
          <t>합   계</t>
        </is>
      </c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1" t="n"/>
      <c r="M19" s="92" t="n"/>
      <c r="T19" s="93">
        <f>T17</f>
        <v/>
      </c>
      <c r="Y19" s="56" t="n"/>
      <c r="Z19" s="90" t="n"/>
      <c r="AA19" s="91" t="n"/>
    </row>
    <row r="20" ht="18" customHeight="1" s="65">
      <c r="B20" s="8" t="inlineStr">
        <is>
          <t>1. 견적유효 : 견적 제출일로부터 1개월</t>
        </is>
      </c>
    </row>
    <row r="21" ht="18" customHeight="1" s="65">
      <c r="B21" s="8" t="inlineStr">
        <is>
          <t>2. 검사조건 : 출고검사 / 유효기간 내 재발송 가능 / CS업무 가능</t>
        </is>
      </c>
    </row>
    <row r="22" ht="18" customHeight="1" s="65">
      <c r="B22" s="8" t="inlineStr">
        <is>
          <t>3. 비과세 상품 세금계산서 불가하나, 인보이스 발행(전자거래명세서 가능)</t>
        </is>
      </c>
    </row>
  </sheetData>
  <mergeCells count="69">
    <mergeCell ref="Q14:S14"/>
    <mergeCell ref="Y11:AA11"/>
    <mergeCell ref="B18:AB18"/>
    <mergeCell ref="Y14:AA14"/>
    <mergeCell ref="N11:O11"/>
    <mergeCell ref="Y10:AA10"/>
    <mergeCell ref="T15:X15"/>
    <mergeCell ref="O8:R8"/>
    <mergeCell ref="S9:AB9"/>
    <mergeCell ref="Q10:S10"/>
    <mergeCell ref="G13:L13"/>
    <mergeCell ref="B16:F16"/>
    <mergeCell ref="T14:X14"/>
    <mergeCell ref="N16:O16"/>
    <mergeCell ref="Q19:S19"/>
    <mergeCell ref="W6:X6"/>
    <mergeCell ref="B5:L9"/>
    <mergeCell ref="B2:AB4"/>
    <mergeCell ref="Y19:AA19"/>
    <mergeCell ref="Y17:AA17"/>
    <mergeCell ref="S5:AB5"/>
    <mergeCell ref="M5:N9"/>
    <mergeCell ref="G15:L15"/>
    <mergeCell ref="Y8:AB8"/>
    <mergeCell ref="B12:F12"/>
    <mergeCell ref="Q15:S15"/>
    <mergeCell ref="Y16:AA16"/>
    <mergeCell ref="N12:O12"/>
    <mergeCell ref="T10:X10"/>
    <mergeCell ref="G14:L14"/>
    <mergeCell ref="Y13:AA13"/>
    <mergeCell ref="O7:R7"/>
    <mergeCell ref="B11:F11"/>
    <mergeCell ref="Y12:AA12"/>
    <mergeCell ref="B14:F14"/>
    <mergeCell ref="Q17:S17"/>
    <mergeCell ref="O6:R6"/>
    <mergeCell ref="B17:L17"/>
    <mergeCell ref="B13:F13"/>
    <mergeCell ref="N14:O14"/>
    <mergeCell ref="N17:O17"/>
    <mergeCell ref="O9:R9"/>
    <mergeCell ref="Q11:S11"/>
    <mergeCell ref="T12:X12"/>
    <mergeCell ref="G16:L16"/>
    <mergeCell ref="S8:V8"/>
    <mergeCell ref="T11:X11"/>
    <mergeCell ref="B19:L19"/>
    <mergeCell ref="N10:O10"/>
    <mergeCell ref="Q13:S13"/>
    <mergeCell ref="O5:R5"/>
    <mergeCell ref="B10:L10"/>
    <mergeCell ref="N19:O19"/>
    <mergeCell ref="G12:L12"/>
    <mergeCell ref="N13:O13"/>
    <mergeCell ref="Q12:S12"/>
    <mergeCell ref="S7:AB7"/>
    <mergeCell ref="T17:X17"/>
    <mergeCell ref="Q16:S16"/>
    <mergeCell ref="T13:X13"/>
    <mergeCell ref="W8:X8"/>
    <mergeCell ref="G11:L11"/>
    <mergeCell ref="T16:X16"/>
    <mergeCell ref="N15:O15"/>
    <mergeCell ref="B15:F15"/>
    <mergeCell ref="Y15:AA15"/>
    <mergeCell ref="T19:X19"/>
    <mergeCell ref="S6:V6"/>
    <mergeCell ref="Y6:AB6"/>
  </mergeCells>
  <printOptions horizontalCentered="1"/>
  <pageMargins left="0.2362204724409449" right="0.2362204724409449" top="0.7480314960629921" bottom="0.7480314960629921" header="0.3149606299212598" footer="0.3149606299212598"/>
  <pageSetup orientation="landscape" paperSize="9" scale="65" fitToHeight="0" fitToWidth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제휴사업실</dc:creator>
  <dcterms:created xmlns:dcterms="http://purl.org/dc/terms/" xmlns:xsi="http://www.w3.org/2001/XMLSchema-instance" xsi:type="dcterms:W3CDTF">2024-09-04T01:18:38Z</dcterms:created>
  <dcterms:modified xmlns:dcterms="http://purl.org/dc/terms/" xmlns:xsi="http://www.w3.org/2001/XMLSchema-instance" xsi:type="dcterms:W3CDTF">2026-04-15T09:21:57Z</dcterms:modified>
  <cp:lastModifiedBy>전략영업팀</cp:lastModifiedBy>
  <cp:lastPrinted>2025-11-07T07:38:52Z</cp:lastPrinted>
</cp:coreProperties>
</file>