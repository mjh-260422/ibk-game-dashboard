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hye\Desktop\업무\매체사\우리카드\구간포상 이벤트\260220 수신자 및 상품목록\"/>
    </mc:Choice>
  </mc:AlternateContent>
  <xr:revisionPtr revIDLastSave="0" documentId="13_ncr:1_{948FA48A-C9CF-42DE-85F3-A4B3D593209D}" xr6:coauthVersionLast="47" xr6:coauthVersionMax="47" xr10:uidLastSave="{00000000-0000-0000-0000-000000000000}"/>
  <bookViews>
    <workbookView xWindow="-110" yWindow="-110" windowWidth="19420" windowHeight="11500" activeTab="1" xr2:uid="{E1A98C7E-677B-4F71-BDCD-7D9BFAF37031}"/>
  </bookViews>
  <sheets>
    <sheet name="전달용" sheetId="5" r:id="rId1"/>
    <sheet name="상품목록" sheetId="4" r:id="rId2"/>
  </sheets>
  <definedNames>
    <definedName name="_xlnm._FilterDatabase" localSheetId="1" hidden="1">상품목록!$B$4:$K$53</definedName>
    <definedName name="_xlnm._FilterDatabase" localSheetId="0" hidden="1">전달용!$B$4:$M$194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5" l="1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6" i="5"/>
  <c r="F7" i="5"/>
  <c r="G7" i="5"/>
  <c r="H7" i="5"/>
  <c r="I7" i="5"/>
  <c r="J7" i="5"/>
  <c r="K7" i="5"/>
  <c r="L7" i="5"/>
  <c r="F8" i="5"/>
  <c r="G8" i="5"/>
  <c r="H8" i="5"/>
  <c r="I8" i="5"/>
  <c r="J8" i="5"/>
  <c r="K8" i="5"/>
  <c r="L8" i="5"/>
  <c r="F9" i="5"/>
  <c r="G9" i="5"/>
  <c r="H9" i="5"/>
  <c r="I9" i="5"/>
  <c r="J9" i="5"/>
  <c r="K9" i="5"/>
  <c r="L9" i="5"/>
  <c r="F10" i="5"/>
  <c r="G10" i="5"/>
  <c r="H10" i="5"/>
  <c r="I10" i="5"/>
  <c r="J10" i="5"/>
  <c r="K10" i="5"/>
  <c r="L10" i="5"/>
  <c r="F11" i="5"/>
  <c r="G11" i="5"/>
  <c r="H11" i="5"/>
  <c r="I11" i="5"/>
  <c r="J11" i="5"/>
  <c r="K11" i="5"/>
  <c r="L11" i="5"/>
  <c r="F12" i="5"/>
  <c r="G12" i="5"/>
  <c r="H12" i="5"/>
  <c r="I12" i="5"/>
  <c r="J12" i="5"/>
  <c r="K12" i="5"/>
  <c r="L12" i="5"/>
  <c r="F13" i="5"/>
  <c r="G13" i="5"/>
  <c r="H13" i="5"/>
  <c r="I13" i="5"/>
  <c r="J13" i="5"/>
  <c r="K13" i="5"/>
  <c r="L13" i="5"/>
  <c r="F14" i="5"/>
  <c r="G14" i="5"/>
  <c r="H14" i="5"/>
  <c r="I14" i="5"/>
  <c r="J14" i="5"/>
  <c r="K14" i="5"/>
  <c r="L14" i="5"/>
  <c r="F15" i="5"/>
  <c r="G15" i="5"/>
  <c r="H15" i="5"/>
  <c r="I15" i="5"/>
  <c r="J15" i="5"/>
  <c r="K15" i="5"/>
  <c r="L15" i="5"/>
  <c r="F16" i="5"/>
  <c r="G16" i="5"/>
  <c r="H16" i="5"/>
  <c r="I16" i="5"/>
  <c r="J16" i="5"/>
  <c r="K16" i="5"/>
  <c r="L16" i="5"/>
  <c r="F17" i="5"/>
  <c r="G17" i="5"/>
  <c r="H17" i="5"/>
  <c r="I17" i="5"/>
  <c r="J17" i="5"/>
  <c r="K17" i="5"/>
  <c r="L17" i="5"/>
  <c r="F18" i="5"/>
  <c r="G18" i="5"/>
  <c r="H18" i="5"/>
  <c r="I18" i="5"/>
  <c r="J18" i="5"/>
  <c r="K18" i="5"/>
  <c r="L18" i="5"/>
  <c r="F19" i="5"/>
  <c r="G19" i="5"/>
  <c r="H19" i="5"/>
  <c r="I19" i="5"/>
  <c r="J19" i="5"/>
  <c r="K19" i="5"/>
  <c r="L19" i="5"/>
  <c r="F20" i="5"/>
  <c r="G20" i="5"/>
  <c r="H20" i="5"/>
  <c r="I20" i="5"/>
  <c r="J20" i="5"/>
  <c r="K20" i="5"/>
  <c r="L20" i="5"/>
  <c r="F21" i="5"/>
  <c r="G21" i="5"/>
  <c r="H21" i="5"/>
  <c r="I21" i="5"/>
  <c r="J21" i="5"/>
  <c r="K21" i="5"/>
  <c r="L21" i="5"/>
  <c r="F22" i="5"/>
  <c r="G22" i="5"/>
  <c r="H22" i="5"/>
  <c r="I22" i="5"/>
  <c r="J22" i="5"/>
  <c r="K22" i="5"/>
  <c r="L22" i="5"/>
  <c r="F23" i="5"/>
  <c r="G23" i="5"/>
  <c r="H23" i="5"/>
  <c r="I23" i="5"/>
  <c r="J23" i="5"/>
  <c r="K23" i="5"/>
  <c r="L23" i="5"/>
  <c r="F24" i="5"/>
  <c r="G24" i="5"/>
  <c r="H24" i="5"/>
  <c r="I24" i="5"/>
  <c r="J24" i="5"/>
  <c r="K24" i="5"/>
  <c r="L24" i="5"/>
  <c r="F25" i="5"/>
  <c r="G25" i="5"/>
  <c r="H25" i="5"/>
  <c r="I25" i="5"/>
  <c r="J25" i="5"/>
  <c r="K25" i="5"/>
  <c r="L25" i="5"/>
  <c r="F26" i="5"/>
  <c r="G26" i="5"/>
  <c r="H26" i="5"/>
  <c r="I26" i="5"/>
  <c r="J26" i="5"/>
  <c r="K26" i="5"/>
  <c r="L26" i="5"/>
  <c r="F27" i="5"/>
  <c r="G27" i="5"/>
  <c r="H27" i="5"/>
  <c r="I27" i="5"/>
  <c r="J27" i="5"/>
  <c r="K27" i="5"/>
  <c r="L27" i="5"/>
  <c r="F28" i="5"/>
  <c r="G28" i="5"/>
  <c r="H28" i="5"/>
  <c r="I28" i="5"/>
  <c r="J28" i="5"/>
  <c r="K28" i="5"/>
  <c r="L28" i="5"/>
  <c r="F29" i="5"/>
  <c r="G29" i="5"/>
  <c r="H29" i="5"/>
  <c r="I29" i="5"/>
  <c r="J29" i="5"/>
  <c r="K29" i="5"/>
  <c r="L29" i="5"/>
  <c r="F30" i="5"/>
  <c r="G30" i="5"/>
  <c r="H30" i="5"/>
  <c r="I30" i="5"/>
  <c r="J30" i="5"/>
  <c r="K30" i="5"/>
  <c r="L30" i="5"/>
  <c r="F31" i="5"/>
  <c r="G31" i="5"/>
  <c r="H31" i="5"/>
  <c r="I31" i="5"/>
  <c r="J31" i="5"/>
  <c r="K31" i="5"/>
  <c r="L31" i="5"/>
  <c r="F32" i="5"/>
  <c r="G32" i="5"/>
  <c r="H32" i="5"/>
  <c r="I32" i="5"/>
  <c r="J32" i="5"/>
  <c r="K32" i="5"/>
  <c r="L32" i="5"/>
  <c r="F33" i="5"/>
  <c r="G33" i="5"/>
  <c r="H33" i="5"/>
  <c r="I33" i="5"/>
  <c r="J33" i="5"/>
  <c r="K33" i="5"/>
  <c r="L33" i="5"/>
  <c r="F34" i="5"/>
  <c r="G34" i="5"/>
  <c r="H34" i="5"/>
  <c r="I34" i="5"/>
  <c r="J34" i="5"/>
  <c r="K34" i="5"/>
  <c r="L34" i="5"/>
  <c r="F35" i="5"/>
  <c r="G35" i="5"/>
  <c r="H35" i="5"/>
  <c r="I35" i="5"/>
  <c r="J35" i="5"/>
  <c r="K35" i="5"/>
  <c r="L35" i="5"/>
  <c r="F36" i="5"/>
  <c r="G36" i="5"/>
  <c r="H36" i="5"/>
  <c r="I36" i="5"/>
  <c r="J36" i="5"/>
  <c r="K36" i="5"/>
  <c r="L36" i="5"/>
  <c r="F37" i="5"/>
  <c r="G37" i="5"/>
  <c r="H37" i="5"/>
  <c r="I37" i="5"/>
  <c r="J37" i="5"/>
  <c r="K37" i="5"/>
  <c r="L37" i="5"/>
  <c r="F38" i="5"/>
  <c r="G38" i="5"/>
  <c r="H38" i="5"/>
  <c r="I38" i="5"/>
  <c r="J38" i="5"/>
  <c r="K38" i="5"/>
  <c r="L38" i="5"/>
  <c r="F39" i="5"/>
  <c r="G39" i="5"/>
  <c r="H39" i="5"/>
  <c r="I39" i="5"/>
  <c r="J39" i="5"/>
  <c r="K39" i="5"/>
  <c r="L39" i="5"/>
  <c r="F40" i="5"/>
  <c r="G40" i="5"/>
  <c r="H40" i="5"/>
  <c r="I40" i="5"/>
  <c r="J40" i="5"/>
  <c r="K40" i="5"/>
  <c r="L40" i="5"/>
  <c r="F41" i="5"/>
  <c r="G41" i="5"/>
  <c r="H41" i="5"/>
  <c r="I41" i="5"/>
  <c r="J41" i="5"/>
  <c r="K41" i="5"/>
  <c r="L41" i="5"/>
  <c r="F42" i="5"/>
  <c r="G42" i="5"/>
  <c r="H42" i="5"/>
  <c r="I42" i="5"/>
  <c r="J42" i="5"/>
  <c r="K42" i="5"/>
  <c r="L42" i="5"/>
  <c r="F43" i="5"/>
  <c r="G43" i="5"/>
  <c r="H43" i="5"/>
  <c r="I43" i="5"/>
  <c r="J43" i="5"/>
  <c r="K43" i="5"/>
  <c r="L43" i="5"/>
  <c r="F44" i="5"/>
  <c r="G44" i="5"/>
  <c r="H44" i="5"/>
  <c r="I44" i="5"/>
  <c r="J44" i="5"/>
  <c r="K44" i="5"/>
  <c r="L44" i="5"/>
  <c r="F45" i="5"/>
  <c r="G45" i="5"/>
  <c r="H45" i="5"/>
  <c r="I45" i="5"/>
  <c r="J45" i="5"/>
  <c r="K45" i="5"/>
  <c r="L45" i="5"/>
  <c r="F46" i="5"/>
  <c r="G46" i="5"/>
  <c r="H46" i="5"/>
  <c r="I46" i="5"/>
  <c r="J46" i="5"/>
  <c r="K46" i="5"/>
  <c r="L46" i="5"/>
  <c r="F47" i="5"/>
  <c r="G47" i="5"/>
  <c r="H47" i="5"/>
  <c r="I47" i="5"/>
  <c r="J47" i="5"/>
  <c r="K47" i="5"/>
  <c r="L47" i="5"/>
  <c r="F48" i="5"/>
  <c r="G48" i="5"/>
  <c r="H48" i="5"/>
  <c r="I48" i="5"/>
  <c r="J48" i="5"/>
  <c r="K48" i="5"/>
  <c r="L48" i="5"/>
  <c r="F49" i="5"/>
  <c r="G49" i="5"/>
  <c r="H49" i="5"/>
  <c r="I49" i="5"/>
  <c r="J49" i="5"/>
  <c r="K49" i="5"/>
  <c r="L49" i="5"/>
  <c r="F50" i="5"/>
  <c r="G50" i="5"/>
  <c r="H50" i="5"/>
  <c r="I50" i="5"/>
  <c r="J50" i="5"/>
  <c r="K50" i="5"/>
  <c r="L50" i="5"/>
  <c r="F51" i="5"/>
  <c r="G51" i="5"/>
  <c r="H51" i="5"/>
  <c r="I51" i="5"/>
  <c r="J51" i="5"/>
  <c r="K51" i="5"/>
  <c r="L51" i="5"/>
  <c r="F52" i="5"/>
  <c r="G52" i="5"/>
  <c r="H52" i="5"/>
  <c r="I52" i="5"/>
  <c r="J52" i="5"/>
  <c r="K52" i="5"/>
  <c r="L52" i="5"/>
  <c r="F53" i="5"/>
  <c r="G53" i="5"/>
  <c r="H53" i="5"/>
  <c r="I53" i="5"/>
  <c r="J53" i="5"/>
  <c r="K53" i="5"/>
  <c r="L53" i="5"/>
  <c r="F54" i="5"/>
  <c r="G54" i="5"/>
  <c r="H54" i="5"/>
  <c r="I54" i="5"/>
  <c r="J54" i="5"/>
  <c r="K54" i="5"/>
  <c r="L54" i="5"/>
  <c r="F55" i="5"/>
  <c r="G55" i="5"/>
  <c r="H55" i="5"/>
  <c r="I55" i="5"/>
  <c r="J55" i="5"/>
  <c r="K55" i="5"/>
  <c r="L55" i="5"/>
  <c r="F56" i="5"/>
  <c r="G56" i="5"/>
  <c r="H56" i="5"/>
  <c r="I56" i="5"/>
  <c r="J56" i="5"/>
  <c r="K56" i="5"/>
  <c r="L56" i="5"/>
  <c r="F57" i="5"/>
  <c r="G57" i="5"/>
  <c r="H57" i="5"/>
  <c r="I57" i="5"/>
  <c r="J57" i="5"/>
  <c r="K57" i="5"/>
  <c r="L57" i="5"/>
  <c r="F58" i="5"/>
  <c r="G58" i="5"/>
  <c r="H58" i="5"/>
  <c r="I58" i="5"/>
  <c r="J58" i="5"/>
  <c r="K58" i="5"/>
  <c r="L58" i="5"/>
  <c r="F59" i="5"/>
  <c r="G59" i="5"/>
  <c r="H59" i="5"/>
  <c r="I59" i="5"/>
  <c r="J59" i="5"/>
  <c r="K59" i="5"/>
  <c r="L59" i="5"/>
  <c r="F60" i="5"/>
  <c r="G60" i="5"/>
  <c r="H60" i="5"/>
  <c r="I60" i="5"/>
  <c r="J60" i="5"/>
  <c r="K60" i="5"/>
  <c r="L60" i="5"/>
  <c r="F61" i="5"/>
  <c r="G61" i="5"/>
  <c r="H61" i="5"/>
  <c r="I61" i="5"/>
  <c r="J61" i="5"/>
  <c r="K61" i="5"/>
  <c r="L61" i="5"/>
  <c r="F62" i="5"/>
  <c r="G62" i="5"/>
  <c r="H62" i="5"/>
  <c r="I62" i="5"/>
  <c r="J62" i="5"/>
  <c r="K62" i="5"/>
  <c r="L62" i="5"/>
  <c r="F63" i="5"/>
  <c r="G63" i="5"/>
  <c r="H63" i="5"/>
  <c r="I63" i="5"/>
  <c r="J63" i="5"/>
  <c r="K63" i="5"/>
  <c r="L63" i="5"/>
  <c r="F64" i="5"/>
  <c r="G64" i="5"/>
  <c r="H64" i="5"/>
  <c r="I64" i="5"/>
  <c r="J64" i="5"/>
  <c r="K64" i="5"/>
  <c r="L64" i="5"/>
  <c r="F65" i="5"/>
  <c r="G65" i="5"/>
  <c r="H65" i="5"/>
  <c r="I65" i="5"/>
  <c r="J65" i="5"/>
  <c r="K65" i="5"/>
  <c r="L65" i="5"/>
  <c r="F66" i="5"/>
  <c r="G66" i="5"/>
  <c r="H66" i="5"/>
  <c r="I66" i="5"/>
  <c r="J66" i="5"/>
  <c r="K66" i="5"/>
  <c r="L66" i="5"/>
  <c r="F67" i="5"/>
  <c r="G67" i="5"/>
  <c r="H67" i="5"/>
  <c r="I67" i="5"/>
  <c r="J67" i="5"/>
  <c r="K67" i="5"/>
  <c r="L67" i="5"/>
  <c r="F68" i="5"/>
  <c r="G68" i="5"/>
  <c r="H68" i="5"/>
  <c r="I68" i="5"/>
  <c r="J68" i="5"/>
  <c r="K68" i="5"/>
  <c r="L68" i="5"/>
  <c r="F69" i="5"/>
  <c r="G69" i="5"/>
  <c r="H69" i="5"/>
  <c r="I69" i="5"/>
  <c r="J69" i="5"/>
  <c r="K69" i="5"/>
  <c r="L69" i="5"/>
  <c r="F70" i="5"/>
  <c r="G70" i="5"/>
  <c r="H70" i="5"/>
  <c r="I70" i="5"/>
  <c r="J70" i="5"/>
  <c r="K70" i="5"/>
  <c r="L70" i="5"/>
  <c r="F71" i="5"/>
  <c r="G71" i="5"/>
  <c r="H71" i="5"/>
  <c r="I71" i="5"/>
  <c r="J71" i="5"/>
  <c r="K71" i="5"/>
  <c r="L71" i="5"/>
  <c r="F72" i="5"/>
  <c r="G72" i="5"/>
  <c r="H72" i="5"/>
  <c r="I72" i="5"/>
  <c r="J72" i="5"/>
  <c r="K72" i="5"/>
  <c r="L72" i="5"/>
  <c r="F73" i="5"/>
  <c r="G73" i="5"/>
  <c r="H73" i="5"/>
  <c r="I73" i="5"/>
  <c r="J73" i="5"/>
  <c r="K73" i="5"/>
  <c r="L73" i="5"/>
  <c r="F74" i="5"/>
  <c r="G74" i="5"/>
  <c r="H74" i="5"/>
  <c r="I74" i="5"/>
  <c r="J74" i="5"/>
  <c r="K74" i="5"/>
  <c r="L74" i="5"/>
  <c r="F75" i="5"/>
  <c r="G75" i="5"/>
  <c r="H75" i="5"/>
  <c r="I75" i="5"/>
  <c r="J75" i="5"/>
  <c r="K75" i="5"/>
  <c r="L75" i="5"/>
  <c r="F76" i="5"/>
  <c r="G76" i="5"/>
  <c r="H76" i="5"/>
  <c r="I76" i="5"/>
  <c r="J76" i="5"/>
  <c r="K76" i="5"/>
  <c r="L76" i="5"/>
  <c r="F77" i="5"/>
  <c r="G77" i="5"/>
  <c r="H77" i="5"/>
  <c r="I77" i="5"/>
  <c r="J77" i="5"/>
  <c r="K77" i="5"/>
  <c r="L77" i="5"/>
  <c r="F78" i="5"/>
  <c r="G78" i="5"/>
  <c r="H78" i="5"/>
  <c r="I78" i="5"/>
  <c r="J78" i="5"/>
  <c r="K78" i="5"/>
  <c r="L78" i="5"/>
  <c r="F79" i="5"/>
  <c r="G79" i="5"/>
  <c r="H79" i="5"/>
  <c r="I79" i="5"/>
  <c r="J79" i="5"/>
  <c r="K79" i="5"/>
  <c r="L79" i="5"/>
  <c r="F80" i="5"/>
  <c r="G80" i="5"/>
  <c r="H80" i="5"/>
  <c r="I80" i="5"/>
  <c r="J80" i="5"/>
  <c r="K80" i="5"/>
  <c r="L80" i="5"/>
  <c r="F81" i="5"/>
  <c r="G81" i="5"/>
  <c r="H81" i="5"/>
  <c r="I81" i="5"/>
  <c r="J81" i="5"/>
  <c r="K81" i="5"/>
  <c r="L81" i="5"/>
  <c r="F82" i="5"/>
  <c r="G82" i="5"/>
  <c r="H82" i="5"/>
  <c r="I82" i="5"/>
  <c r="J82" i="5"/>
  <c r="K82" i="5"/>
  <c r="L82" i="5"/>
  <c r="F83" i="5"/>
  <c r="G83" i="5"/>
  <c r="H83" i="5"/>
  <c r="I83" i="5"/>
  <c r="J83" i="5"/>
  <c r="K83" i="5"/>
  <c r="L83" i="5"/>
  <c r="F84" i="5"/>
  <c r="G84" i="5"/>
  <c r="H84" i="5"/>
  <c r="I84" i="5"/>
  <c r="J84" i="5"/>
  <c r="K84" i="5"/>
  <c r="L84" i="5"/>
  <c r="F85" i="5"/>
  <c r="G85" i="5"/>
  <c r="H85" i="5"/>
  <c r="I85" i="5"/>
  <c r="J85" i="5"/>
  <c r="K85" i="5"/>
  <c r="L85" i="5"/>
  <c r="F86" i="5"/>
  <c r="G86" i="5"/>
  <c r="H86" i="5"/>
  <c r="I86" i="5"/>
  <c r="J86" i="5"/>
  <c r="K86" i="5"/>
  <c r="L86" i="5"/>
  <c r="F87" i="5"/>
  <c r="G87" i="5"/>
  <c r="H87" i="5"/>
  <c r="I87" i="5"/>
  <c r="J87" i="5"/>
  <c r="K87" i="5"/>
  <c r="L87" i="5"/>
  <c r="F88" i="5"/>
  <c r="G88" i="5"/>
  <c r="H88" i="5"/>
  <c r="I88" i="5"/>
  <c r="J88" i="5"/>
  <c r="K88" i="5"/>
  <c r="L88" i="5"/>
  <c r="F89" i="5"/>
  <c r="G89" i="5"/>
  <c r="H89" i="5"/>
  <c r="I89" i="5"/>
  <c r="J89" i="5"/>
  <c r="K89" i="5"/>
  <c r="L89" i="5"/>
  <c r="F90" i="5"/>
  <c r="G90" i="5"/>
  <c r="H90" i="5"/>
  <c r="I90" i="5"/>
  <c r="J90" i="5"/>
  <c r="K90" i="5"/>
  <c r="L90" i="5"/>
  <c r="F91" i="5"/>
  <c r="G91" i="5"/>
  <c r="H91" i="5"/>
  <c r="I91" i="5"/>
  <c r="J91" i="5"/>
  <c r="K91" i="5"/>
  <c r="L91" i="5"/>
  <c r="F92" i="5"/>
  <c r="G92" i="5"/>
  <c r="H92" i="5"/>
  <c r="I92" i="5"/>
  <c r="J92" i="5"/>
  <c r="K92" i="5"/>
  <c r="L92" i="5"/>
  <c r="F93" i="5"/>
  <c r="G93" i="5"/>
  <c r="H93" i="5"/>
  <c r="I93" i="5"/>
  <c r="J93" i="5"/>
  <c r="K93" i="5"/>
  <c r="L93" i="5"/>
  <c r="F94" i="5"/>
  <c r="G94" i="5"/>
  <c r="H94" i="5"/>
  <c r="I94" i="5"/>
  <c r="J94" i="5"/>
  <c r="K94" i="5"/>
  <c r="L94" i="5"/>
  <c r="F95" i="5"/>
  <c r="G95" i="5"/>
  <c r="H95" i="5"/>
  <c r="I95" i="5"/>
  <c r="J95" i="5"/>
  <c r="K95" i="5"/>
  <c r="L95" i="5"/>
  <c r="F96" i="5"/>
  <c r="G96" i="5"/>
  <c r="H96" i="5"/>
  <c r="I96" i="5"/>
  <c r="J96" i="5"/>
  <c r="K96" i="5"/>
  <c r="L96" i="5"/>
  <c r="F97" i="5"/>
  <c r="G97" i="5"/>
  <c r="H97" i="5"/>
  <c r="I97" i="5"/>
  <c r="J97" i="5"/>
  <c r="K97" i="5"/>
  <c r="L97" i="5"/>
  <c r="F98" i="5"/>
  <c r="G98" i="5"/>
  <c r="H98" i="5"/>
  <c r="I98" i="5"/>
  <c r="J98" i="5"/>
  <c r="K98" i="5"/>
  <c r="L98" i="5"/>
  <c r="F99" i="5"/>
  <c r="G99" i="5"/>
  <c r="H99" i="5"/>
  <c r="I99" i="5"/>
  <c r="J99" i="5"/>
  <c r="K99" i="5"/>
  <c r="L99" i="5"/>
  <c r="F100" i="5"/>
  <c r="G100" i="5"/>
  <c r="H100" i="5"/>
  <c r="I100" i="5"/>
  <c r="J100" i="5"/>
  <c r="K100" i="5"/>
  <c r="L100" i="5"/>
  <c r="F101" i="5"/>
  <c r="G101" i="5"/>
  <c r="H101" i="5"/>
  <c r="I101" i="5"/>
  <c r="J101" i="5"/>
  <c r="K101" i="5"/>
  <c r="L101" i="5"/>
  <c r="F102" i="5"/>
  <c r="G102" i="5"/>
  <c r="H102" i="5"/>
  <c r="I102" i="5"/>
  <c r="J102" i="5"/>
  <c r="K102" i="5"/>
  <c r="L102" i="5"/>
  <c r="F103" i="5"/>
  <c r="G103" i="5"/>
  <c r="H103" i="5"/>
  <c r="I103" i="5"/>
  <c r="J103" i="5"/>
  <c r="K103" i="5"/>
  <c r="L103" i="5"/>
  <c r="F104" i="5"/>
  <c r="G104" i="5"/>
  <c r="H104" i="5"/>
  <c r="I104" i="5"/>
  <c r="J104" i="5"/>
  <c r="K104" i="5"/>
  <c r="L104" i="5"/>
  <c r="F105" i="5"/>
  <c r="G105" i="5"/>
  <c r="H105" i="5"/>
  <c r="I105" i="5"/>
  <c r="J105" i="5"/>
  <c r="K105" i="5"/>
  <c r="L105" i="5"/>
  <c r="F106" i="5"/>
  <c r="G106" i="5"/>
  <c r="H106" i="5"/>
  <c r="I106" i="5"/>
  <c r="J106" i="5"/>
  <c r="K106" i="5"/>
  <c r="L106" i="5"/>
  <c r="F107" i="5"/>
  <c r="G107" i="5"/>
  <c r="H107" i="5"/>
  <c r="I107" i="5"/>
  <c r="J107" i="5"/>
  <c r="K107" i="5"/>
  <c r="L107" i="5"/>
  <c r="F108" i="5"/>
  <c r="G108" i="5"/>
  <c r="H108" i="5"/>
  <c r="I108" i="5"/>
  <c r="J108" i="5"/>
  <c r="K108" i="5"/>
  <c r="L108" i="5"/>
  <c r="F109" i="5"/>
  <c r="G109" i="5"/>
  <c r="H109" i="5"/>
  <c r="I109" i="5"/>
  <c r="J109" i="5"/>
  <c r="K109" i="5"/>
  <c r="L109" i="5"/>
  <c r="F110" i="5"/>
  <c r="G110" i="5"/>
  <c r="H110" i="5"/>
  <c r="I110" i="5"/>
  <c r="J110" i="5"/>
  <c r="K110" i="5"/>
  <c r="L110" i="5"/>
  <c r="F111" i="5"/>
  <c r="G111" i="5"/>
  <c r="H111" i="5"/>
  <c r="I111" i="5"/>
  <c r="J111" i="5"/>
  <c r="K111" i="5"/>
  <c r="L111" i="5"/>
  <c r="F112" i="5"/>
  <c r="G112" i="5"/>
  <c r="H112" i="5"/>
  <c r="I112" i="5"/>
  <c r="J112" i="5"/>
  <c r="K112" i="5"/>
  <c r="L112" i="5"/>
  <c r="F113" i="5"/>
  <c r="G113" i="5"/>
  <c r="H113" i="5"/>
  <c r="I113" i="5"/>
  <c r="J113" i="5"/>
  <c r="K113" i="5"/>
  <c r="L113" i="5"/>
  <c r="F114" i="5"/>
  <c r="G114" i="5"/>
  <c r="H114" i="5"/>
  <c r="I114" i="5"/>
  <c r="J114" i="5"/>
  <c r="K114" i="5"/>
  <c r="L114" i="5"/>
  <c r="F115" i="5"/>
  <c r="G115" i="5"/>
  <c r="H115" i="5"/>
  <c r="I115" i="5"/>
  <c r="J115" i="5"/>
  <c r="K115" i="5"/>
  <c r="L115" i="5"/>
  <c r="F116" i="5"/>
  <c r="G116" i="5"/>
  <c r="H116" i="5"/>
  <c r="I116" i="5"/>
  <c r="J116" i="5"/>
  <c r="K116" i="5"/>
  <c r="L116" i="5"/>
  <c r="F117" i="5"/>
  <c r="G117" i="5"/>
  <c r="H117" i="5"/>
  <c r="I117" i="5"/>
  <c r="J117" i="5"/>
  <c r="K117" i="5"/>
  <c r="L117" i="5"/>
  <c r="F118" i="5"/>
  <c r="G118" i="5"/>
  <c r="H118" i="5"/>
  <c r="I118" i="5"/>
  <c r="J118" i="5"/>
  <c r="K118" i="5"/>
  <c r="L118" i="5"/>
  <c r="F119" i="5"/>
  <c r="G119" i="5"/>
  <c r="H119" i="5"/>
  <c r="I119" i="5"/>
  <c r="J119" i="5"/>
  <c r="K119" i="5"/>
  <c r="L119" i="5"/>
  <c r="F120" i="5"/>
  <c r="G120" i="5"/>
  <c r="H120" i="5"/>
  <c r="I120" i="5"/>
  <c r="J120" i="5"/>
  <c r="K120" i="5"/>
  <c r="L120" i="5"/>
  <c r="F121" i="5"/>
  <c r="G121" i="5"/>
  <c r="H121" i="5"/>
  <c r="I121" i="5"/>
  <c r="J121" i="5"/>
  <c r="K121" i="5"/>
  <c r="L121" i="5"/>
  <c r="F122" i="5"/>
  <c r="G122" i="5"/>
  <c r="H122" i="5"/>
  <c r="I122" i="5"/>
  <c r="J122" i="5"/>
  <c r="K122" i="5"/>
  <c r="L122" i="5"/>
  <c r="F123" i="5"/>
  <c r="G123" i="5"/>
  <c r="H123" i="5"/>
  <c r="I123" i="5"/>
  <c r="J123" i="5"/>
  <c r="K123" i="5"/>
  <c r="L123" i="5"/>
  <c r="F124" i="5"/>
  <c r="G124" i="5"/>
  <c r="H124" i="5"/>
  <c r="I124" i="5"/>
  <c r="J124" i="5"/>
  <c r="K124" i="5"/>
  <c r="L124" i="5"/>
  <c r="F125" i="5"/>
  <c r="G125" i="5"/>
  <c r="H125" i="5"/>
  <c r="I125" i="5"/>
  <c r="J125" i="5"/>
  <c r="K125" i="5"/>
  <c r="L125" i="5"/>
  <c r="F126" i="5"/>
  <c r="G126" i="5"/>
  <c r="H126" i="5"/>
  <c r="I126" i="5"/>
  <c r="J126" i="5"/>
  <c r="K126" i="5"/>
  <c r="L126" i="5"/>
  <c r="F127" i="5"/>
  <c r="G127" i="5"/>
  <c r="H127" i="5"/>
  <c r="I127" i="5"/>
  <c r="J127" i="5"/>
  <c r="K127" i="5"/>
  <c r="L127" i="5"/>
  <c r="F128" i="5"/>
  <c r="G128" i="5"/>
  <c r="H128" i="5"/>
  <c r="I128" i="5"/>
  <c r="J128" i="5"/>
  <c r="K128" i="5"/>
  <c r="L128" i="5"/>
  <c r="F129" i="5"/>
  <c r="G129" i="5"/>
  <c r="H129" i="5"/>
  <c r="I129" i="5"/>
  <c r="J129" i="5"/>
  <c r="K129" i="5"/>
  <c r="L129" i="5"/>
  <c r="F130" i="5"/>
  <c r="G130" i="5"/>
  <c r="H130" i="5"/>
  <c r="I130" i="5"/>
  <c r="J130" i="5"/>
  <c r="K130" i="5"/>
  <c r="L130" i="5"/>
  <c r="F131" i="5"/>
  <c r="G131" i="5"/>
  <c r="H131" i="5"/>
  <c r="I131" i="5"/>
  <c r="J131" i="5"/>
  <c r="K131" i="5"/>
  <c r="L131" i="5"/>
  <c r="F132" i="5"/>
  <c r="G132" i="5"/>
  <c r="H132" i="5"/>
  <c r="I132" i="5"/>
  <c r="J132" i="5"/>
  <c r="K132" i="5"/>
  <c r="L132" i="5"/>
  <c r="F133" i="5"/>
  <c r="G133" i="5"/>
  <c r="H133" i="5"/>
  <c r="I133" i="5"/>
  <c r="J133" i="5"/>
  <c r="K133" i="5"/>
  <c r="L133" i="5"/>
  <c r="F134" i="5"/>
  <c r="G134" i="5"/>
  <c r="H134" i="5"/>
  <c r="I134" i="5"/>
  <c r="J134" i="5"/>
  <c r="K134" i="5"/>
  <c r="L134" i="5"/>
  <c r="F135" i="5"/>
  <c r="G135" i="5"/>
  <c r="H135" i="5"/>
  <c r="I135" i="5"/>
  <c r="J135" i="5"/>
  <c r="K135" i="5"/>
  <c r="L135" i="5"/>
  <c r="F136" i="5"/>
  <c r="G136" i="5"/>
  <c r="H136" i="5"/>
  <c r="I136" i="5"/>
  <c r="J136" i="5"/>
  <c r="K136" i="5"/>
  <c r="L136" i="5"/>
  <c r="F137" i="5"/>
  <c r="G137" i="5"/>
  <c r="H137" i="5"/>
  <c r="I137" i="5"/>
  <c r="J137" i="5"/>
  <c r="K137" i="5"/>
  <c r="L137" i="5"/>
  <c r="F138" i="5"/>
  <c r="G138" i="5"/>
  <c r="H138" i="5"/>
  <c r="I138" i="5"/>
  <c r="J138" i="5"/>
  <c r="K138" i="5"/>
  <c r="L138" i="5"/>
  <c r="F139" i="5"/>
  <c r="G139" i="5"/>
  <c r="H139" i="5"/>
  <c r="I139" i="5"/>
  <c r="J139" i="5"/>
  <c r="K139" i="5"/>
  <c r="L139" i="5"/>
  <c r="F140" i="5"/>
  <c r="G140" i="5"/>
  <c r="H140" i="5"/>
  <c r="I140" i="5"/>
  <c r="J140" i="5"/>
  <c r="K140" i="5"/>
  <c r="L140" i="5"/>
  <c r="F141" i="5"/>
  <c r="G141" i="5"/>
  <c r="H141" i="5"/>
  <c r="I141" i="5"/>
  <c r="J141" i="5"/>
  <c r="K141" i="5"/>
  <c r="L141" i="5"/>
  <c r="F142" i="5"/>
  <c r="G142" i="5"/>
  <c r="H142" i="5"/>
  <c r="I142" i="5"/>
  <c r="J142" i="5"/>
  <c r="K142" i="5"/>
  <c r="L142" i="5"/>
  <c r="F143" i="5"/>
  <c r="G143" i="5"/>
  <c r="H143" i="5"/>
  <c r="I143" i="5"/>
  <c r="J143" i="5"/>
  <c r="K143" i="5"/>
  <c r="L143" i="5"/>
  <c r="F144" i="5"/>
  <c r="G144" i="5"/>
  <c r="H144" i="5"/>
  <c r="I144" i="5"/>
  <c r="J144" i="5"/>
  <c r="K144" i="5"/>
  <c r="L144" i="5"/>
  <c r="F145" i="5"/>
  <c r="G145" i="5"/>
  <c r="H145" i="5"/>
  <c r="I145" i="5"/>
  <c r="J145" i="5"/>
  <c r="K145" i="5"/>
  <c r="L145" i="5"/>
  <c r="F146" i="5"/>
  <c r="G146" i="5"/>
  <c r="H146" i="5"/>
  <c r="I146" i="5"/>
  <c r="J146" i="5"/>
  <c r="K146" i="5"/>
  <c r="L146" i="5"/>
  <c r="F147" i="5"/>
  <c r="G147" i="5"/>
  <c r="H147" i="5"/>
  <c r="I147" i="5"/>
  <c r="J147" i="5"/>
  <c r="K147" i="5"/>
  <c r="L147" i="5"/>
  <c r="F148" i="5"/>
  <c r="G148" i="5"/>
  <c r="H148" i="5"/>
  <c r="I148" i="5"/>
  <c r="J148" i="5"/>
  <c r="K148" i="5"/>
  <c r="L148" i="5"/>
  <c r="F149" i="5"/>
  <c r="G149" i="5"/>
  <c r="H149" i="5"/>
  <c r="I149" i="5"/>
  <c r="J149" i="5"/>
  <c r="K149" i="5"/>
  <c r="L149" i="5"/>
  <c r="F150" i="5"/>
  <c r="G150" i="5"/>
  <c r="H150" i="5"/>
  <c r="I150" i="5"/>
  <c r="J150" i="5"/>
  <c r="K150" i="5"/>
  <c r="L150" i="5"/>
  <c r="F151" i="5"/>
  <c r="G151" i="5"/>
  <c r="H151" i="5"/>
  <c r="I151" i="5"/>
  <c r="J151" i="5"/>
  <c r="K151" i="5"/>
  <c r="L151" i="5"/>
  <c r="F152" i="5"/>
  <c r="G152" i="5"/>
  <c r="H152" i="5"/>
  <c r="I152" i="5"/>
  <c r="J152" i="5"/>
  <c r="K152" i="5"/>
  <c r="L152" i="5"/>
  <c r="F153" i="5"/>
  <c r="G153" i="5"/>
  <c r="H153" i="5"/>
  <c r="I153" i="5"/>
  <c r="J153" i="5"/>
  <c r="K153" i="5"/>
  <c r="L153" i="5"/>
  <c r="F154" i="5"/>
  <c r="G154" i="5"/>
  <c r="H154" i="5"/>
  <c r="I154" i="5"/>
  <c r="J154" i="5"/>
  <c r="K154" i="5"/>
  <c r="L154" i="5"/>
  <c r="F155" i="5"/>
  <c r="G155" i="5"/>
  <c r="H155" i="5"/>
  <c r="I155" i="5"/>
  <c r="J155" i="5"/>
  <c r="K155" i="5"/>
  <c r="L155" i="5"/>
  <c r="F156" i="5"/>
  <c r="G156" i="5"/>
  <c r="H156" i="5"/>
  <c r="I156" i="5"/>
  <c r="J156" i="5"/>
  <c r="K156" i="5"/>
  <c r="L156" i="5"/>
  <c r="F157" i="5"/>
  <c r="G157" i="5"/>
  <c r="H157" i="5"/>
  <c r="I157" i="5"/>
  <c r="J157" i="5"/>
  <c r="K157" i="5"/>
  <c r="L157" i="5"/>
  <c r="F158" i="5"/>
  <c r="G158" i="5"/>
  <c r="H158" i="5"/>
  <c r="I158" i="5"/>
  <c r="J158" i="5"/>
  <c r="K158" i="5"/>
  <c r="L158" i="5"/>
  <c r="F159" i="5"/>
  <c r="G159" i="5"/>
  <c r="H159" i="5"/>
  <c r="I159" i="5"/>
  <c r="J159" i="5"/>
  <c r="K159" i="5"/>
  <c r="L159" i="5"/>
  <c r="F160" i="5"/>
  <c r="G160" i="5"/>
  <c r="H160" i="5"/>
  <c r="I160" i="5"/>
  <c r="J160" i="5"/>
  <c r="K160" i="5"/>
  <c r="L160" i="5"/>
  <c r="F161" i="5"/>
  <c r="G161" i="5"/>
  <c r="H161" i="5"/>
  <c r="I161" i="5"/>
  <c r="J161" i="5"/>
  <c r="K161" i="5"/>
  <c r="L161" i="5"/>
  <c r="F162" i="5"/>
  <c r="G162" i="5"/>
  <c r="H162" i="5"/>
  <c r="I162" i="5"/>
  <c r="J162" i="5"/>
  <c r="K162" i="5"/>
  <c r="L162" i="5"/>
  <c r="F163" i="5"/>
  <c r="G163" i="5"/>
  <c r="H163" i="5"/>
  <c r="I163" i="5"/>
  <c r="J163" i="5"/>
  <c r="K163" i="5"/>
  <c r="L163" i="5"/>
  <c r="F164" i="5"/>
  <c r="G164" i="5"/>
  <c r="H164" i="5"/>
  <c r="I164" i="5"/>
  <c r="J164" i="5"/>
  <c r="K164" i="5"/>
  <c r="L164" i="5"/>
  <c r="F165" i="5"/>
  <c r="G165" i="5"/>
  <c r="H165" i="5"/>
  <c r="I165" i="5"/>
  <c r="J165" i="5"/>
  <c r="K165" i="5"/>
  <c r="L165" i="5"/>
  <c r="F166" i="5"/>
  <c r="G166" i="5"/>
  <c r="H166" i="5"/>
  <c r="I166" i="5"/>
  <c r="J166" i="5"/>
  <c r="K166" i="5"/>
  <c r="L166" i="5"/>
  <c r="F167" i="5"/>
  <c r="G167" i="5"/>
  <c r="H167" i="5"/>
  <c r="I167" i="5"/>
  <c r="J167" i="5"/>
  <c r="K167" i="5"/>
  <c r="L167" i="5"/>
  <c r="F168" i="5"/>
  <c r="G168" i="5"/>
  <c r="H168" i="5"/>
  <c r="I168" i="5"/>
  <c r="J168" i="5"/>
  <c r="K168" i="5"/>
  <c r="L168" i="5"/>
  <c r="F169" i="5"/>
  <c r="G169" i="5"/>
  <c r="H169" i="5"/>
  <c r="I169" i="5"/>
  <c r="J169" i="5"/>
  <c r="K169" i="5"/>
  <c r="L169" i="5"/>
  <c r="F170" i="5"/>
  <c r="G170" i="5"/>
  <c r="H170" i="5"/>
  <c r="I170" i="5"/>
  <c r="J170" i="5"/>
  <c r="K170" i="5"/>
  <c r="L170" i="5"/>
  <c r="F171" i="5"/>
  <c r="G171" i="5"/>
  <c r="H171" i="5"/>
  <c r="I171" i="5"/>
  <c r="J171" i="5"/>
  <c r="K171" i="5"/>
  <c r="L171" i="5"/>
  <c r="F172" i="5"/>
  <c r="G172" i="5"/>
  <c r="H172" i="5"/>
  <c r="I172" i="5"/>
  <c r="J172" i="5"/>
  <c r="K172" i="5"/>
  <c r="L172" i="5"/>
  <c r="F173" i="5"/>
  <c r="G173" i="5"/>
  <c r="H173" i="5"/>
  <c r="I173" i="5"/>
  <c r="J173" i="5"/>
  <c r="K173" i="5"/>
  <c r="L173" i="5"/>
  <c r="F174" i="5"/>
  <c r="G174" i="5"/>
  <c r="H174" i="5"/>
  <c r="I174" i="5"/>
  <c r="J174" i="5"/>
  <c r="K174" i="5"/>
  <c r="L174" i="5"/>
  <c r="F175" i="5"/>
  <c r="G175" i="5"/>
  <c r="H175" i="5"/>
  <c r="I175" i="5"/>
  <c r="J175" i="5"/>
  <c r="K175" i="5"/>
  <c r="L175" i="5"/>
  <c r="F176" i="5"/>
  <c r="G176" i="5"/>
  <c r="H176" i="5"/>
  <c r="I176" i="5"/>
  <c r="J176" i="5"/>
  <c r="K176" i="5"/>
  <c r="L176" i="5"/>
  <c r="F177" i="5"/>
  <c r="G177" i="5"/>
  <c r="H177" i="5"/>
  <c r="I177" i="5"/>
  <c r="J177" i="5"/>
  <c r="K177" i="5"/>
  <c r="L177" i="5"/>
  <c r="F178" i="5"/>
  <c r="G178" i="5"/>
  <c r="H178" i="5"/>
  <c r="I178" i="5"/>
  <c r="J178" i="5"/>
  <c r="K178" i="5"/>
  <c r="L178" i="5"/>
  <c r="F179" i="5"/>
  <c r="G179" i="5"/>
  <c r="H179" i="5"/>
  <c r="I179" i="5"/>
  <c r="J179" i="5"/>
  <c r="K179" i="5"/>
  <c r="L179" i="5"/>
  <c r="F180" i="5"/>
  <c r="G180" i="5"/>
  <c r="H180" i="5"/>
  <c r="I180" i="5"/>
  <c r="J180" i="5"/>
  <c r="K180" i="5"/>
  <c r="L180" i="5"/>
  <c r="F181" i="5"/>
  <c r="G181" i="5"/>
  <c r="H181" i="5"/>
  <c r="I181" i="5"/>
  <c r="J181" i="5"/>
  <c r="K181" i="5"/>
  <c r="L181" i="5"/>
  <c r="F182" i="5"/>
  <c r="G182" i="5"/>
  <c r="H182" i="5"/>
  <c r="I182" i="5"/>
  <c r="J182" i="5"/>
  <c r="K182" i="5"/>
  <c r="L182" i="5"/>
  <c r="F183" i="5"/>
  <c r="G183" i="5"/>
  <c r="H183" i="5"/>
  <c r="I183" i="5"/>
  <c r="J183" i="5"/>
  <c r="K183" i="5"/>
  <c r="L183" i="5"/>
  <c r="F184" i="5"/>
  <c r="G184" i="5"/>
  <c r="H184" i="5"/>
  <c r="I184" i="5"/>
  <c r="J184" i="5"/>
  <c r="K184" i="5"/>
  <c r="L184" i="5"/>
  <c r="F185" i="5"/>
  <c r="G185" i="5"/>
  <c r="H185" i="5"/>
  <c r="I185" i="5"/>
  <c r="J185" i="5"/>
  <c r="K185" i="5"/>
  <c r="L185" i="5"/>
  <c r="F186" i="5"/>
  <c r="G186" i="5"/>
  <c r="H186" i="5"/>
  <c r="I186" i="5"/>
  <c r="J186" i="5"/>
  <c r="K186" i="5"/>
  <c r="L186" i="5"/>
  <c r="F187" i="5"/>
  <c r="G187" i="5"/>
  <c r="H187" i="5"/>
  <c r="I187" i="5"/>
  <c r="J187" i="5"/>
  <c r="K187" i="5"/>
  <c r="L187" i="5"/>
  <c r="F188" i="5"/>
  <c r="G188" i="5"/>
  <c r="H188" i="5"/>
  <c r="I188" i="5"/>
  <c r="J188" i="5"/>
  <c r="K188" i="5"/>
  <c r="L188" i="5"/>
  <c r="F189" i="5"/>
  <c r="G189" i="5"/>
  <c r="H189" i="5"/>
  <c r="I189" i="5"/>
  <c r="J189" i="5"/>
  <c r="K189" i="5"/>
  <c r="L189" i="5"/>
  <c r="F190" i="5"/>
  <c r="G190" i="5"/>
  <c r="H190" i="5"/>
  <c r="I190" i="5"/>
  <c r="J190" i="5"/>
  <c r="K190" i="5"/>
  <c r="L190" i="5"/>
  <c r="F191" i="5"/>
  <c r="G191" i="5"/>
  <c r="H191" i="5"/>
  <c r="I191" i="5"/>
  <c r="J191" i="5"/>
  <c r="K191" i="5"/>
  <c r="L191" i="5"/>
  <c r="F192" i="5"/>
  <c r="G192" i="5"/>
  <c r="H192" i="5"/>
  <c r="I192" i="5"/>
  <c r="J192" i="5"/>
  <c r="K192" i="5"/>
  <c r="L192" i="5"/>
  <c r="F193" i="5"/>
  <c r="G193" i="5"/>
  <c r="H193" i="5"/>
  <c r="I193" i="5"/>
  <c r="J193" i="5"/>
  <c r="K193" i="5"/>
  <c r="L193" i="5"/>
  <c r="F194" i="5"/>
  <c r="G194" i="5"/>
  <c r="H194" i="5"/>
  <c r="I194" i="5"/>
  <c r="J194" i="5"/>
  <c r="K194" i="5"/>
  <c r="L194" i="5"/>
  <c r="G6" i="5"/>
  <c r="H6" i="5"/>
  <c r="I6" i="5"/>
  <c r="J6" i="5"/>
  <c r="K6" i="5"/>
  <c r="L6" i="5"/>
  <c r="F6" i="5"/>
  <c r="Q9" i="5" l="1"/>
  <c r="Q8" i="5"/>
  <c r="Q7" i="5"/>
  <c r="Q6" i="5"/>
  <c r="Q5" i="5"/>
  <c r="D5" i="5"/>
  <c r="Q4" i="5"/>
  <c r="Q3" i="5"/>
  <c r="M5" i="5" l="1"/>
</calcChain>
</file>

<file path=xl/sharedStrings.xml><?xml version="1.0" encoding="utf-8"?>
<sst xmlns="http://schemas.openxmlformats.org/spreadsheetml/2006/main" count="515" uniqueCount="465">
  <si>
    <t>이름</t>
    <phoneticPr fontId="3" type="noConversion"/>
  </si>
  <si>
    <t>서동환</t>
  </si>
  <si>
    <t>유준일</t>
  </si>
  <si>
    <t>박가희</t>
  </si>
  <si>
    <t>박자민</t>
  </si>
  <si>
    <t>장예리</t>
  </si>
  <si>
    <t>이소희</t>
  </si>
  <si>
    <t>김수현</t>
  </si>
  <si>
    <t>류민지</t>
  </si>
  <si>
    <t>성다은</t>
  </si>
  <si>
    <t>박지원</t>
  </si>
  <si>
    <t>박소민</t>
  </si>
  <si>
    <t>오세훈</t>
  </si>
  <si>
    <t>오상준</t>
  </si>
  <si>
    <t>이다영</t>
  </si>
  <si>
    <t>안동환</t>
  </si>
  <si>
    <t>구민기</t>
  </si>
  <si>
    <t>김현정</t>
  </si>
  <si>
    <t>이승종</t>
  </si>
  <si>
    <t>장소영</t>
  </si>
  <si>
    <t>안세혁</t>
  </si>
  <si>
    <t>이상민</t>
  </si>
  <si>
    <t>맹현</t>
  </si>
  <si>
    <t>김미연</t>
  </si>
  <si>
    <t>최진경</t>
  </si>
  <si>
    <t>이초롱</t>
  </si>
  <si>
    <t>김도희</t>
  </si>
  <si>
    <t>박서현</t>
  </si>
  <si>
    <t>이원준</t>
  </si>
  <si>
    <t>박동빈</t>
  </si>
  <si>
    <t>이진영</t>
  </si>
  <si>
    <t>조용석</t>
  </si>
  <si>
    <t>김성모</t>
  </si>
  <si>
    <t>김지은</t>
  </si>
  <si>
    <t>차미정</t>
  </si>
  <si>
    <t>김동빈</t>
  </si>
  <si>
    <t>정상우</t>
  </si>
  <si>
    <t>김태훈</t>
  </si>
  <si>
    <t>이지혜</t>
  </si>
  <si>
    <t>박세련</t>
  </si>
  <si>
    <t>정호상</t>
  </si>
  <si>
    <t>김희진</t>
  </si>
  <si>
    <t>최현규</t>
  </si>
  <si>
    <t>민은정</t>
  </si>
  <si>
    <t>최가영</t>
  </si>
  <si>
    <t>김송희</t>
  </si>
  <si>
    <t>윤명옥</t>
  </si>
  <si>
    <t>이재현</t>
  </si>
  <si>
    <t>정재원</t>
  </si>
  <si>
    <t>조남규</t>
  </si>
  <si>
    <t>황현혜</t>
  </si>
  <si>
    <t>이수민</t>
  </si>
  <si>
    <t>이연정</t>
  </si>
  <si>
    <t>이상철</t>
  </si>
  <si>
    <t>강순호</t>
  </si>
  <si>
    <t>진윤걸</t>
  </si>
  <si>
    <t>신승연</t>
  </si>
  <si>
    <t>홍수정</t>
  </si>
  <si>
    <t>신현진</t>
  </si>
  <si>
    <t>박소연</t>
  </si>
  <si>
    <t>임거묵</t>
  </si>
  <si>
    <t>김지혜</t>
  </si>
  <si>
    <t>김혜민</t>
  </si>
  <si>
    <t>박지윤</t>
  </si>
  <si>
    <t>정하선</t>
  </si>
  <si>
    <t>이성욱</t>
  </si>
  <si>
    <t>이금주</t>
  </si>
  <si>
    <t>송세훈</t>
  </si>
  <si>
    <t>최재영</t>
  </si>
  <si>
    <t>김승효</t>
  </si>
  <si>
    <t>추지훈</t>
  </si>
  <si>
    <t>박현정</t>
  </si>
  <si>
    <t>윤미정</t>
  </si>
  <si>
    <t>조준호</t>
  </si>
  <si>
    <t>김동민</t>
  </si>
  <si>
    <t>여성익</t>
  </si>
  <si>
    <t>이현주</t>
  </si>
  <si>
    <t>강승연</t>
  </si>
  <si>
    <t>강민성</t>
  </si>
  <si>
    <t>백종희</t>
  </si>
  <si>
    <t>박시온</t>
  </si>
  <si>
    <t>김상엽</t>
  </si>
  <si>
    <t>박유진</t>
  </si>
  <si>
    <t>김현경</t>
  </si>
  <si>
    <t>정희경</t>
  </si>
  <si>
    <t>이준혁</t>
  </si>
  <si>
    <t>임지수</t>
  </si>
  <si>
    <t>양재승</t>
  </si>
  <si>
    <t>김상진</t>
  </si>
  <si>
    <t>양승희</t>
  </si>
  <si>
    <t>이나라</t>
  </si>
  <si>
    <t>차진호</t>
  </si>
  <si>
    <t>강지혜</t>
  </si>
  <si>
    <t>황연제</t>
  </si>
  <si>
    <t>이경민</t>
  </si>
  <si>
    <t>이승연</t>
  </si>
  <si>
    <t>이재철</t>
  </si>
  <si>
    <t>조윤경</t>
  </si>
  <si>
    <t>윤지호</t>
  </si>
  <si>
    <t>전준우</t>
  </si>
  <si>
    <t>최소영</t>
  </si>
  <si>
    <t>윤미진</t>
  </si>
  <si>
    <t>조순남</t>
  </si>
  <si>
    <t>김서현</t>
  </si>
  <si>
    <t>김평교</t>
  </si>
  <si>
    <t>정구용</t>
  </si>
  <si>
    <t>한동희</t>
  </si>
  <si>
    <t>백수정</t>
  </si>
  <si>
    <t>송효빈</t>
  </si>
  <si>
    <t>김선혜</t>
  </si>
  <si>
    <t>조은비</t>
  </si>
  <si>
    <t>김승희</t>
  </si>
  <si>
    <t>이창석</t>
  </si>
  <si>
    <t>이승주</t>
  </si>
  <si>
    <t>정보라</t>
  </si>
  <si>
    <t>이준호</t>
  </si>
  <si>
    <t>정수민</t>
  </si>
  <si>
    <t>이희선</t>
  </si>
  <si>
    <t>최예원</t>
  </si>
  <si>
    <t>지영경</t>
  </si>
  <si>
    <t>유종명</t>
  </si>
  <si>
    <t>박지민</t>
  </si>
  <si>
    <t>전소연</t>
  </si>
  <si>
    <t>김윤나</t>
  </si>
  <si>
    <t>이시원</t>
  </si>
  <si>
    <t>우제훈</t>
  </si>
  <si>
    <t>우유정</t>
  </si>
  <si>
    <t>최현찬</t>
  </si>
  <si>
    <t>전민수</t>
  </si>
  <si>
    <t>박지수</t>
  </si>
  <si>
    <t>김준형</t>
  </si>
  <si>
    <t>황병호</t>
  </si>
  <si>
    <t>이정민</t>
  </si>
  <si>
    <t>최규헌</t>
  </si>
  <si>
    <t>김리나</t>
  </si>
  <si>
    <t>전진성</t>
  </si>
  <si>
    <t>김유리</t>
  </si>
  <si>
    <t>김은지</t>
  </si>
  <si>
    <t>문성대</t>
  </si>
  <si>
    <t>최다은</t>
  </si>
  <si>
    <t>한영주</t>
  </si>
  <si>
    <t>이채하</t>
  </si>
  <si>
    <t>정낙민</t>
  </si>
  <si>
    <t>김하연</t>
  </si>
  <si>
    <t>김서윤</t>
  </si>
  <si>
    <t>이정훈</t>
  </si>
  <si>
    <t>이현우</t>
  </si>
  <si>
    <t>김동환</t>
  </si>
  <si>
    <t>임유라</t>
  </si>
  <si>
    <t>손형주</t>
  </si>
  <si>
    <t>김윤영</t>
  </si>
  <si>
    <t>박제연</t>
  </si>
  <si>
    <t>임현지</t>
  </si>
  <si>
    <t>이종화</t>
  </si>
  <si>
    <t>심규미</t>
  </si>
  <si>
    <t>이수미</t>
  </si>
  <si>
    <t>이호성</t>
  </si>
  <si>
    <t>이광민</t>
  </si>
  <si>
    <t>구현정</t>
  </si>
  <si>
    <t>최은주</t>
  </si>
  <si>
    <t>오승준</t>
  </si>
  <si>
    <t>이수연</t>
  </si>
  <si>
    <t>변현수</t>
  </si>
  <si>
    <t>노준호</t>
  </si>
  <si>
    <t>서범곤</t>
  </si>
  <si>
    <t>김준호</t>
  </si>
  <si>
    <t>홍승희</t>
  </si>
  <si>
    <t>이성은</t>
  </si>
  <si>
    <t>엄제윤</t>
  </si>
  <si>
    <t>문지수</t>
  </si>
  <si>
    <t>윤종목</t>
  </si>
  <si>
    <t>이주연</t>
  </si>
  <si>
    <t>황진호</t>
  </si>
  <si>
    <t>김영환</t>
  </si>
  <si>
    <t>이수행</t>
  </si>
  <si>
    <t>정근원</t>
  </si>
  <si>
    <t>박영선</t>
  </si>
  <si>
    <t>한영규</t>
  </si>
  <si>
    <t>오수훈</t>
  </si>
  <si>
    <t>이옥희</t>
  </si>
  <si>
    <t>이지수</t>
  </si>
  <si>
    <t>최종현</t>
  </si>
  <si>
    <t>최이삭</t>
  </si>
  <si>
    <t>김지영</t>
  </si>
  <si>
    <t>김연주</t>
  </si>
  <si>
    <t>신정미</t>
  </si>
  <si>
    <t>김민수</t>
  </si>
  <si>
    <t>이민정</t>
  </si>
  <si>
    <t>구간달성</t>
    <phoneticPr fontId="3" type="noConversion"/>
  </si>
  <si>
    <t>01079271992</t>
  </si>
  <si>
    <t>01024168843</t>
  </si>
  <si>
    <t>01062667163</t>
  </si>
  <si>
    <t>01033267475</t>
  </si>
  <si>
    <t>01042194914</t>
  </si>
  <si>
    <t>01027338936</t>
  </si>
  <si>
    <t>01094859695</t>
  </si>
  <si>
    <t>01066844589</t>
  </si>
  <si>
    <t>01029279218</t>
  </si>
  <si>
    <t>01087685824</t>
  </si>
  <si>
    <t>01020894759</t>
  </si>
  <si>
    <t>01074549229</t>
  </si>
  <si>
    <t>01074551980</t>
  </si>
  <si>
    <t>01031341531</t>
  </si>
  <si>
    <t>01065929022</t>
  </si>
  <si>
    <t>01094989823</t>
  </si>
  <si>
    <t>01083011145</t>
  </si>
  <si>
    <t>01093310873</t>
  </si>
  <si>
    <t>01049013169</t>
  </si>
  <si>
    <t>01022807858</t>
  </si>
  <si>
    <t>01029306445</t>
  </si>
  <si>
    <t>01041177989</t>
  </si>
  <si>
    <t>01099370290</t>
  </si>
  <si>
    <t>01030161987</t>
  </si>
  <si>
    <t>01039047043</t>
  </si>
  <si>
    <t>01042322460</t>
  </si>
  <si>
    <t>01042394199</t>
  </si>
  <si>
    <t>01023803799</t>
  </si>
  <si>
    <t>01033699448</t>
  </si>
  <si>
    <t>01073352427</t>
  </si>
  <si>
    <t>01066350582</t>
  </si>
  <si>
    <t>01091608572</t>
  </si>
  <si>
    <t>01051019084</t>
  </si>
  <si>
    <t>01035801115</t>
  </si>
  <si>
    <t>01065431836</t>
  </si>
  <si>
    <t>01086323224</t>
  </si>
  <si>
    <t>01076779196</t>
  </si>
  <si>
    <t>01076251164</t>
  </si>
  <si>
    <t>01043668200</t>
  </si>
  <si>
    <t>01041809584</t>
  </si>
  <si>
    <t>01040140301</t>
  </si>
  <si>
    <t>01050536331</t>
  </si>
  <si>
    <t>01050615949</t>
  </si>
  <si>
    <t>01092669704</t>
  </si>
  <si>
    <t>01091988075</t>
  </si>
  <si>
    <t>01062515465</t>
  </si>
  <si>
    <t>01048586621</t>
  </si>
  <si>
    <t>01050493393</t>
  </si>
  <si>
    <t>01066169747</t>
  </si>
  <si>
    <t>01032775876</t>
  </si>
  <si>
    <t>01031337315</t>
  </si>
  <si>
    <t>01022660877</t>
  </si>
  <si>
    <t>01051504023</t>
  </si>
  <si>
    <t>01091841138</t>
  </si>
  <si>
    <t>01076460201</t>
  </si>
  <si>
    <t>01020229487</t>
  </si>
  <si>
    <t>01053621051</t>
  </si>
  <si>
    <t>01042960021</t>
  </si>
  <si>
    <t>01081083035</t>
  </si>
  <si>
    <t>01099579023</t>
  </si>
  <si>
    <t>01033582486</t>
  </si>
  <si>
    <t>01050450927</t>
  </si>
  <si>
    <t>01041223677</t>
  </si>
  <si>
    <t>01026553857</t>
  </si>
  <si>
    <t>01040947821</t>
  </si>
  <si>
    <t>01064565338</t>
  </si>
  <si>
    <t>01090483075</t>
  </si>
  <si>
    <t>01033167210</t>
  </si>
  <si>
    <t>01087211126</t>
  </si>
  <si>
    <t>01085135031</t>
  </si>
  <si>
    <t>01090372486</t>
  </si>
  <si>
    <t>01040393947</t>
  </si>
  <si>
    <t>01073403460</t>
  </si>
  <si>
    <t>01026615816</t>
  </si>
  <si>
    <t>01025274575</t>
  </si>
  <si>
    <t>01032602668</t>
  </si>
  <si>
    <t>01093332624</t>
  </si>
  <si>
    <t>01071380872</t>
  </si>
  <si>
    <t>01092830999</t>
  </si>
  <si>
    <t>01031315462</t>
  </si>
  <si>
    <t>01063031581</t>
  </si>
  <si>
    <t>01064155280</t>
  </si>
  <si>
    <t>01089090709</t>
  </si>
  <si>
    <t>01087598723</t>
  </si>
  <si>
    <t>01093414046</t>
  </si>
  <si>
    <t>01068506999</t>
  </si>
  <si>
    <t>01092221923</t>
  </si>
  <si>
    <t>01028582296</t>
  </si>
  <si>
    <t>01071193246</t>
  </si>
  <si>
    <t>01040689199</t>
  </si>
  <si>
    <t>01029969124</t>
  </si>
  <si>
    <t>01056441125</t>
  </si>
  <si>
    <t>01051090898</t>
  </si>
  <si>
    <t>01091718327</t>
  </si>
  <si>
    <t>01068608735</t>
  </si>
  <si>
    <t>01055957199</t>
  </si>
  <si>
    <t>01093358722</t>
  </si>
  <si>
    <t>01032152412</t>
  </si>
  <si>
    <t>01049424182</t>
  </si>
  <si>
    <t>01080055081</t>
  </si>
  <si>
    <t>01033732657</t>
  </si>
  <si>
    <t>01048789184</t>
  </si>
  <si>
    <t>01067866362</t>
  </si>
  <si>
    <t>01056226302</t>
  </si>
  <si>
    <t>01063761290</t>
  </si>
  <si>
    <t>01042370822</t>
  </si>
  <si>
    <t>01047853784</t>
  </si>
  <si>
    <t>01020426685</t>
  </si>
  <si>
    <t>01043949959</t>
  </si>
  <si>
    <t>01072053719</t>
  </si>
  <si>
    <t>01091246810</t>
  </si>
  <si>
    <t>01083554987</t>
  </si>
  <si>
    <t>01098776364</t>
  </si>
  <si>
    <t>01050535075</t>
  </si>
  <si>
    <t>01087956903</t>
  </si>
  <si>
    <t>01087859604</t>
  </si>
  <si>
    <t>01084131315</t>
  </si>
  <si>
    <t>01037581901</t>
  </si>
  <si>
    <t>01034379412</t>
  </si>
  <si>
    <t>01098055066</t>
  </si>
  <si>
    <t>01040308871</t>
  </si>
  <si>
    <t>01067007638</t>
  </si>
  <si>
    <t>01044383632</t>
  </si>
  <si>
    <t>01094380343</t>
  </si>
  <si>
    <t>01055971925</t>
  </si>
  <si>
    <t>01034361108</t>
  </si>
  <si>
    <t>01040475991</t>
  </si>
  <si>
    <t>01067770309</t>
  </si>
  <si>
    <t>01083218331</t>
  </si>
  <si>
    <t>01095604929</t>
  </si>
  <si>
    <t>01026560463</t>
  </si>
  <si>
    <t>01084370610</t>
  </si>
  <si>
    <t>01047064287</t>
  </si>
  <si>
    <t>01038126433</t>
  </si>
  <si>
    <t>01076224960</t>
  </si>
  <si>
    <t>01022306029</t>
  </si>
  <si>
    <t>01042656581</t>
  </si>
  <si>
    <t>01041198453</t>
  </si>
  <si>
    <t>01071718626</t>
  </si>
  <si>
    <t>01023200760</t>
  </si>
  <si>
    <t>01064311335</t>
  </si>
  <si>
    <t>01092647894</t>
  </si>
  <si>
    <t>01052897402</t>
  </si>
  <si>
    <t>01066477990</t>
  </si>
  <si>
    <t>01088481980</t>
  </si>
  <si>
    <t>01066367015</t>
  </si>
  <si>
    <t>01040127340</t>
  </si>
  <si>
    <t>01059533229</t>
  </si>
  <si>
    <t>01051610743</t>
  </si>
  <si>
    <t>01027422316</t>
  </si>
  <si>
    <t>01054759294</t>
  </si>
  <si>
    <t>01022807239</t>
  </si>
  <si>
    <t>01071930298</t>
  </si>
  <si>
    <t>01095117036</t>
  </si>
  <si>
    <t>01047287138</t>
  </si>
  <si>
    <t>01087239538</t>
  </si>
  <si>
    <t>01079992904</t>
  </si>
  <si>
    <t>01022218120</t>
  </si>
  <si>
    <t>01047361424</t>
  </si>
  <si>
    <t>01032513012</t>
  </si>
  <si>
    <t>01028819337</t>
  </si>
  <si>
    <t>01055731561</t>
  </si>
  <si>
    <t>01027454610</t>
  </si>
  <si>
    <t>01075121858</t>
  </si>
  <si>
    <t>01063126870</t>
  </si>
  <si>
    <t>01072400178</t>
  </si>
  <si>
    <t>01094140803</t>
  </si>
  <si>
    <t>01088606764</t>
  </si>
  <si>
    <t>01071350713</t>
  </si>
  <si>
    <t>01047906375</t>
  </si>
  <si>
    <t>01045972579</t>
  </si>
  <si>
    <t>01045107063</t>
  </si>
  <si>
    <t>01093421504</t>
  </si>
  <si>
    <t>01092656257</t>
  </si>
  <si>
    <t>01048180337</t>
  </si>
  <si>
    <t>01049148220</t>
  </si>
  <si>
    <t>01044575744</t>
  </si>
  <si>
    <t>01026347009</t>
  </si>
  <si>
    <t>01090954511</t>
  </si>
  <si>
    <t>01026430468</t>
  </si>
  <si>
    <t>01095734587</t>
  </si>
  <si>
    <t>01085024108</t>
  </si>
  <si>
    <t>01063501433</t>
  </si>
  <si>
    <t>01024589722</t>
  </si>
  <si>
    <t>01038684854</t>
  </si>
  <si>
    <t>01072701397</t>
  </si>
  <si>
    <t>01042298624</t>
  </si>
  <si>
    <t>01088026763</t>
  </si>
  <si>
    <t>01088541493</t>
  </si>
  <si>
    <t>휴대폰번호</t>
    <phoneticPr fontId="3" type="noConversion"/>
  </si>
  <si>
    <t>합계</t>
    <phoneticPr fontId="3" type="noConversion"/>
  </si>
  <si>
    <t>구분</t>
    <phoneticPr fontId="3" type="noConversion"/>
  </si>
  <si>
    <t>누적</t>
    <phoneticPr fontId="3" type="noConversion"/>
  </si>
  <si>
    <t>■ 우리카드 구간포상 이벤트_202601</t>
    <phoneticPr fontId="3" type="noConversion"/>
  </si>
  <si>
    <t>대한항공 기프트카드 50만원권*4매</t>
    <phoneticPr fontId="3" type="noConversion"/>
  </si>
  <si>
    <t>허먼밀러 뉴 에어론 체어 (세부 스펙 협의)</t>
    <phoneticPr fontId="3" type="noConversion"/>
  </si>
  <si>
    <t>호텔외식 상품권 50만원권 (잔액 관리형) *4매</t>
    <phoneticPr fontId="3" type="noConversion"/>
  </si>
  <si>
    <t>아이폰 에어 자급제 1TB</t>
    <phoneticPr fontId="3" type="noConversion"/>
  </si>
  <si>
    <t>LG 그램 16</t>
  </si>
  <si>
    <t>200만원 상당</t>
  </si>
  <si>
    <t>신세계 이마트 상품권 200만원</t>
  </si>
  <si>
    <t>대한항공 기프트카드 50만원권*2매</t>
    <phoneticPr fontId="3" type="noConversion"/>
  </si>
  <si>
    <t>티쏘 르로끌 파워매틱 80 시계</t>
    <phoneticPr fontId="3" type="noConversion"/>
  </si>
  <si>
    <t>호텔외식 상품권 50만원권 (잔액 관리형) *2매</t>
    <phoneticPr fontId="3" type="noConversion"/>
  </si>
  <si>
    <t>갤럭시 탭 S11 (Wi-Fi)</t>
  </si>
  <si>
    <t>애플워치 11 GPS + Cellular, 46mm, 티타늄 케이스</t>
    <phoneticPr fontId="3" type="noConversion"/>
  </si>
  <si>
    <t>샤크 에보파워 시스템 부스트+ LC751KRLV</t>
  </si>
  <si>
    <t>100만원 상당</t>
    <phoneticPr fontId="3" type="noConversion"/>
  </si>
  <si>
    <t>네이버페이 포인트 100만원</t>
  </si>
  <si>
    <t>시디즈 컴퓨터 의자 T80</t>
    <phoneticPr fontId="3" type="noConversion"/>
  </si>
  <si>
    <t>신세계 이마트 상품권 60만원</t>
  </si>
  <si>
    <t>신라호텔 디럭스룸 초대권</t>
    <phoneticPr fontId="3" type="noConversion"/>
  </si>
  <si>
    <t>다이슨 슈퍼소닉 뉴럴 헤어 드라이기</t>
  </si>
  <si>
    <t>애플워치 11 GPS, 42mm, 알루미늄 케이스</t>
    <phoneticPr fontId="3" type="noConversion"/>
  </si>
  <si>
    <t>삼성 비스포크 제트 VS20C954AQB</t>
  </si>
  <si>
    <t>60만원 상당</t>
    <phoneticPr fontId="3" type="noConversion"/>
  </si>
  <si>
    <t>네이버페이 포인트 60만원</t>
  </si>
  <si>
    <t>미닉스 음식물 처리기 더플렌더 Basic</t>
  </si>
  <si>
    <t>삼성전자 갤럭시 워치8 블루투스 40mm</t>
    <phoneticPr fontId="3" type="noConversion"/>
  </si>
  <si>
    <t>에어팟 프로 3</t>
  </si>
  <si>
    <t>LG전자 코드제로 A5 AS520WA</t>
  </si>
  <si>
    <t>르라보 향수 100ml (향 선택)</t>
    <phoneticPr fontId="3" type="noConversion"/>
  </si>
  <si>
    <t>우마왕 최상급 한우 선물 세트 1++ No9 2kg</t>
    <phoneticPr fontId="3" type="noConversion"/>
  </si>
  <si>
    <t>40만원 상당</t>
  </si>
  <si>
    <t>신세계 이마트 상품권 40만원</t>
  </si>
  <si>
    <t>풀리오 목 어깨 마사지기 V3</t>
  </si>
  <si>
    <t>닌자 프로페셔널 블렌더 2.0 BR201KR</t>
  </si>
  <si>
    <t>스메그 미니 전기포트</t>
  </si>
  <si>
    <t>네스프레소 버츄오 플러스 캡슐커피머신</t>
  </si>
  <si>
    <t>에어팟 4 블루투스 이어폰 유선충전</t>
  </si>
  <si>
    <t>로지텍 MX Master 4 무선마우스</t>
  </si>
  <si>
    <t>20만원 상당</t>
  </si>
  <si>
    <t>신세계 이마트 상품권 20만원</t>
  </si>
  <si>
    <t>브리츠 BZ-MQ3 레트로 엔틱 블루투스 스피커</t>
  </si>
  <si>
    <t>일리 Y3.3 캡슐커피머신</t>
  </si>
  <si>
    <t>네스카페 돌체구스토 지니오S 터치</t>
  </si>
  <si>
    <t>풀리오 목 어깨 마사지기 V2</t>
  </si>
  <si>
    <t>쿠첸 전자식 에어프라이어 5L</t>
  </si>
  <si>
    <t>신세계 이마트 상품권 10만원권</t>
  </si>
  <si>
    <t>10만원 상당</t>
  </si>
  <si>
    <t>쿠팡캐시 10만원권</t>
  </si>
  <si>
    <t>알로코리아 덴픽 구강세정기</t>
  </si>
  <si>
    <t>로지텍 시그니처 M650 무선 마우스</t>
  </si>
  <si>
    <t>로지텍 무선 텐키리스 키보드 K380S</t>
    <phoneticPr fontId="3" type="noConversion"/>
  </si>
  <si>
    <t>벨킨 5000mAh 맥세이프보조배터리</t>
  </si>
  <si>
    <t>오아 클린이스윙 전동칫솔</t>
  </si>
  <si>
    <t>루메나 듀얼 무선 미니가습기 H3 X</t>
  </si>
  <si>
    <t>5만원 상당</t>
    <phoneticPr fontId="3" type="noConversion"/>
  </si>
  <si>
    <t>스타벅스 e-기프트카드 5만원권</t>
  </si>
  <si>
    <t>할인후 가격</t>
    <phoneticPr fontId="3" type="noConversion"/>
  </si>
  <si>
    <t>할인율</t>
    <phoneticPr fontId="3" type="noConversion"/>
  </si>
  <si>
    <t>가격대</t>
  </si>
  <si>
    <t>상품</t>
  </si>
  <si>
    <t>No.</t>
  </si>
  <si>
    <t>달성구간(社)</t>
  </si>
  <si>
    <t>■ 구간달성 포상 (상반기 기준)</t>
  </si>
  <si>
    <t>우리카드 기업영업기획팀 상품 제안</t>
    <phoneticPr fontId="3" type="noConversion"/>
  </si>
  <si>
    <t>[우리카드]</t>
    <phoneticPr fontId="3" type="noConversion"/>
  </si>
  <si>
    <t>한번이 아니라 더더더 좋은걸로 계속드립니다!!</t>
    <phoneticPr fontId="3" type="noConversion"/>
  </si>
  <si>
    <t>법인사업자 기업카드 모집에 힘써주셔서 감사합니다.</t>
    <phoneticPr fontId="3" type="noConversion"/>
  </si>
  <si>
    <t>첨부된 url 통해 원하시는 상품 골라주세요!</t>
    <phoneticPr fontId="3" type="noConversion"/>
  </si>
  <si>
    <t>법인 신규모집 구간 달성할 때마다 포상 받아가세요! (이미지 참고)</t>
    <phoneticPr fontId="3" type="noConversion"/>
  </si>
  <si>
    <t>2좌</t>
    <phoneticPr fontId="3" type="noConversion"/>
  </si>
  <si>
    <t>4좌</t>
    <phoneticPr fontId="3" type="noConversion"/>
  </si>
  <si>
    <t>6좌</t>
    <phoneticPr fontId="3" type="noConversion"/>
  </si>
  <si>
    <t>8좌</t>
    <phoneticPr fontId="3" type="noConversion"/>
  </si>
  <si>
    <t>10좌</t>
    <phoneticPr fontId="3" type="noConversion"/>
  </si>
  <si>
    <t>15좌</t>
    <phoneticPr fontId="3" type="noConversion"/>
  </si>
  <si>
    <t>20좌</t>
    <phoneticPr fontId="3" type="noConversion"/>
  </si>
  <si>
    <t>실적</t>
    <phoneticPr fontId="3" type="noConversion"/>
  </si>
  <si>
    <t>쿠폰</t>
    <phoneticPr fontId="3" type="noConversion"/>
  </si>
  <si>
    <t>실물</t>
    <phoneticPr fontId="3" type="noConversion"/>
  </si>
  <si>
    <t>갤럭시 북5 프로 (35.6cm) Core™ Ultra 5 / 512GB NVMe SSD, Copilot+ PC</t>
    <phoneticPr fontId="3" type="noConversion"/>
  </si>
  <si>
    <t>매입가</t>
    <phoneticPr fontId="3" type="noConversion"/>
  </si>
  <si>
    <t>판매가</t>
    <phoneticPr fontId="3" type="noConversion"/>
  </si>
  <si>
    <t>대상 수량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</si>
</sst>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###,###&quot;원&quot;"/>
    <numFmt numFmtId="177" formatCode="###,###\ \ ;\▲###,###\ \ ;\ \ \-"/>
    <numFmt numFmtId="178" formatCode="###,###&quot;명&quot;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rgb="FF222222"/>
      <name val="맑은 고딕"/>
      <family val="3"/>
      <charset val="129"/>
      <scheme val="minor"/>
    </font>
    <font>
      <sz val="10"/>
      <color rgb="FF222222"/>
      <name val="Arial"/>
      <family val="2"/>
    </font>
    <font>
      <b/>
      <sz val="10"/>
      <color rgb="FF222222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auto="1"/>
      </right>
      <top style="medium">
        <color auto="1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thin">
        <color indexed="64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 style="thin">
        <color auto="1"/>
      </right>
      <top style="hair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top"/>
    </xf>
    <xf numFmtId="0" fontId="4" fillId="2" borderId="8" xfId="0" applyFont="1" applyFill="1" applyBorder="1" applyAlignment="1">
      <alignment horizontal="center" vertical="top"/>
    </xf>
    <xf numFmtId="0" fontId="4" fillId="2" borderId="9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13" xfId="0" applyNumberFormat="1" applyBorder="1">
      <alignment vertical="center"/>
    </xf>
    <xf numFmtId="41" fontId="0" fillId="0" borderId="0" xfId="1" applyFont="1">
      <alignment vertical="center"/>
    </xf>
    <xf numFmtId="0" fontId="2" fillId="0" borderId="0" xfId="0" applyFont="1">
      <alignment vertical="center"/>
    </xf>
    <xf numFmtId="41" fontId="2" fillId="0" borderId="0" xfId="1" applyFont="1">
      <alignment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178" fontId="5" fillId="2" borderId="11" xfId="0" applyNumberFormat="1" applyFont="1" applyFill="1" applyBorder="1" applyAlignment="1">
      <alignment horizontal="center" vertical="center"/>
    </xf>
    <xf numFmtId="0" fontId="7" fillId="0" borderId="21" xfId="0" applyFont="1" applyBorder="1" applyAlignment="1">
      <alignment vertical="center" wrapText="1"/>
    </xf>
    <xf numFmtId="0" fontId="7" fillId="0" borderId="16" xfId="0" applyFont="1" applyBorder="1" applyAlignment="1">
      <alignment vertical="center" wrapText="1"/>
    </xf>
    <xf numFmtId="0" fontId="7" fillId="0" borderId="17" xfId="0" applyFont="1" applyBorder="1" applyAlignment="1">
      <alignment vertical="center" wrapText="1"/>
    </xf>
    <xf numFmtId="0" fontId="8" fillId="0" borderId="16" xfId="0" applyFont="1" applyBorder="1" applyAlignment="1">
      <alignment vertical="center" wrapText="1"/>
    </xf>
    <xf numFmtId="0" fontId="9" fillId="3" borderId="16" xfId="0" applyFont="1" applyFill="1" applyBorder="1" applyAlignment="1">
      <alignment horizontal="center" vertical="center" wrapText="1"/>
    </xf>
    <xf numFmtId="0" fontId="10" fillId="4" borderId="0" xfId="0" applyFont="1" applyFill="1" applyAlignment="1">
      <alignment vertical="center" wrapText="1"/>
    </xf>
    <xf numFmtId="0" fontId="9" fillId="4" borderId="0" xfId="0" applyFont="1" applyFill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7" fillId="0" borderId="16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/>
    </xf>
    <xf numFmtId="0" fontId="12" fillId="0" borderId="0" xfId="0" applyFont="1">
      <alignment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176" fontId="4" fillId="2" borderId="24" xfId="0" applyNumberFormat="1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top"/>
    </xf>
    <xf numFmtId="0" fontId="0" fillId="0" borderId="26" xfId="0" applyBorder="1" applyAlignment="1">
      <alignment horizontal="center" vertical="center"/>
    </xf>
    <xf numFmtId="178" fontId="5" fillId="2" borderId="25" xfId="0" applyNumberFormat="1" applyFont="1" applyFill="1" applyBorder="1" applyAlignment="1">
      <alignment horizontal="center" vertical="center"/>
    </xf>
    <xf numFmtId="41" fontId="12" fillId="0" borderId="0" xfId="1" applyFont="1">
      <alignment vertical="center"/>
    </xf>
    <xf numFmtId="41" fontId="12" fillId="0" borderId="0" xfId="0" applyNumberFormat="1" applyFont="1">
      <alignment vertical="center"/>
    </xf>
    <xf numFmtId="41" fontId="0" fillId="0" borderId="12" xfId="1" applyFont="1" applyBorder="1" applyAlignment="1">
      <alignment horizontal="center" vertical="center"/>
    </xf>
    <xf numFmtId="41" fontId="0" fillId="0" borderId="13" xfId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41" fontId="0" fillId="0" borderId="27" xfId="1" applyFont="1" applyBorder="1" applyAlignment="1">
      <alignment horizontal="center" vertical="center"/>
    </xf>
    <xf numFmtId="41" fontId="0" fillId="0" borderId="31" xfId="1" applyFont="1" applyBorder="1" applyAlignment="1">
      <alignment horizontal="center" vertical="center"/>
    </xf>
    <xf numFmtId="177" fontId="0" fillId="0" borderId="31" xfId="0" applyNumberFormat="1" applyBorder="1">
      <alignment vertical="center"/>
    </xf>
    <xf numFmtId="0" fontId="10" fillId="0" borderId="0" xfId="0" applyFont="1" applyAlignment="1">
      <alignment horizontal="center" vertical="center"/>
    </xf>
    <xf numFmtId="0" fontId="10" fillId="4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vertical="center" wrapText="1"/>
    </xf>
    <xf numFmtId="0" fontId="7" fillId="4" borderId="16" xfId="0" applyFont="1" applyFill="1" applyBorder="1" applyAlignment="1">
      <alignment vertical="center" wrapText="1"/>
    </xf>
    <xf numFmtId="0" fontId="7" fillId="4" borderId="21" xfId="0" applyFont="1" applyFill="1" applyBorder="1" applyAlignment="1">
      <alignment vertical="center" wrapText="1"/>
    </xf>
    <xf numFmtId="0" fontId="0" fillId="0" borderId="16" xfId="0" applyBorder="1" applyAlignment="1">
      <alignment vertical="center"/>
    </xf>
    <xf numFmtId="41" fontId="10" fillId="0" borderId="0" xfId="1" applyFont="1">
      <alignment vertical="center"/>
    </xf>
    <xf numFmtId="41" fontId="10" fillId="4" borderId="0" xfId="1" applyFont="1" applyFill="1" applyAlignment="1">
      <alignment vertical="center" wrapText="1"/>
    </xf>
    <xf numFmtId="41" fontId="9" fillId="3" borderId="16" xfId="1" applyFont="1" applyFill="1" applyBorder="1" applyAlignment="1">
      <alignment horizontal="center" vertical="center" wrapText="1"/>
    </xf>
    <xf numFmtId="41" fontId="7" fillId="0" borderId="16" xfId="1" applyFont="1" applyBorder="1" applyAlignment="1">
      <alignment vertical="center" wrapText="1"/>
    </xf>
    <xf numFmtId="41" fontId="7" fillId="0" borderId="17" xfId="1" applyFont="1" applyBorder="1" applyAlignment="1">
      <alignment vertical="center" wrapText="1"/>
    </xf>
    <xf numFmtId="0" fontId="0" fillId="0" borderId="17" xfId="0" applyBorder="1" applyAlignment="1">
      <alignment vertical="center"/>
    </xf>
    <xf numFmtId="41" fontId="7" fillId="0" borderId="21" xfId="1" applyFont="1" applyBorder="1" applyAlignment="1">
      <alignment vertical="center" wrapText="1"/>
    </xf>
    <xf numFmtId="0" fontId="0" fillId="0" borderId="21" xfId="0" applyBorder="1" applyAlignme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361950</xdr:colOff>
      <xdr:row>0</xdr:row>
      <xdr:rowOff>190500</xdr:rowOff>
    </xdr:from>
    <xdr:to>
      <xdr:col>19</xdr:col>
      <xdr:colOff>551876</xdr:colOff>
      <xdr:row>14</xdr:row>
      <xdr:rowOff>161558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6A2AB95-9E8E-440A-AB55-CFD0B8F6E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20425" y="190500"/>
          <a:ext cx="4590476" cy="2933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97EC8-DDC0-4BC5-85B4-420FBFA0F25A}">
  <dimension ref="B1:T194"/>
  <sheetViews>
    <sheetView showGridLines="0" zoomScale="85" zoomScaleNormal="85" workbookViewId="0"/>
  </sheetViews>
  <sheetFormatPr defaultRowHeight="17" x14ac:dyDescent="0.45"/>
  <cols>
    <col min="1" max="1" width="4.33203125" customWidth="1"/>
    <col min="2" max="2" width="6" style="11" customWidth="1"/>
    <col min="3" max="3" width="11.08203125" customWidth="1"/>
    <col min="4" max="4" width="12.75" bestFit="1" customWidth="1"/>
    <col min="5" max="5" width="8.08203125" customWidth="1"/>
    <col min="6" max="12" width="9.75" style="11" customWidth="1"/>
    <col min="13" max="13" width="15" customWidth="1"/>
    <col min="16" max="16" width="10.83203125" style="13" bestFit="1" customWidth="1"/>
    <col min="17" max="17" width="10.83203125" bestFit="1" customWidth="1"/>
  </cols>
  <sheetData>
    <row r="1" spans="2:20" ht="17.5" x14ac:dyDescent="0.45">
      <c r="B1" s="18" t="s">
        <v>382</v>
      </c>
    </row>
    <row r="2" spans="2:20" x14ac:dyDescent="0.45">
      <c r="F2" s="45">
        <v>2</v>
      </c>
      <c r="G2" s="45">
        <v>4</v>
      </c>
      <c r="H2" s="45">
        <v>6</v>
      </c>
      <c r="I2" s="45">
        <v>8</v>
      </c>
      <c r="J2" s="45">
        <v>10</v>
      </c>
      <c r="K2" s="45">
        <v>15</v>
      </c>
      <c r="L2" s="45">
        <v>20</v>
      </c>
      <c r="O2" s="14"/>
      <c r="P2" s="15"/>
      <c r="Q2" s="14"/>
    </row>
    <row r="3" spans="2:20" x14ac:dyDescent="0.45">
      <c r="B3" s="1" t="s">
        <v>380</v>
      </c>
      <c r="C3" s="3" t="s">
        <v>0</v>
      </c>
      <c r="D3" s="2" t="s">
        <v>378</v>
      </c>
      <c r="E3" s="34" t="s">
        <v>458</v>
      </c>
      <c r="F3" s="54" t="s">
        <v>188</v>
      </c>
      <c r="G3" s="55"/>
      <c r="H3" s="55"/>
      <c r="I3" s="55"/>
      <c r="J3" s="55"/>
      <c r="K3" s="55"/>
      <c r="L3" s="55"/>
      <c r="M3" s="56"/>
      <c r="N3" s="33"/>
      <c r="O3" s="33">
        <v>2</v>
      </c>
      <c r="P3" s="41">
        <v>50000</v>
      </c>
      <c r="Q3" s="42">
        <f>P3</f>
        <v>50000</v>
      </c>
      <c r="R3" s="33"/>
      <c r="S3" s="33"/>
      <c r="T3" s="33"/>
    </row>
    <row r="4" spans="2:20" ht="17.5" thickBot="1" x14ac:dyDescent="0.5">
      <c r="B4" s="4"/>
      <c r="C4" s="6"/>
      <c r="D4" s="5"/>
      <c r="E4" s="38"/>
      <c r="F4" s="7" t="s">
        <v>451</v>
      </c>
      <c r="G4" s="7" t="s">
        <v>452</v>
      </c>
      <c r="H4" s="7" t="s">
        <v>453</v>
      </c>
      <c r="I4" s="7" t="s">
        <v>454</v>
      </c>
      <c r="J4" s="7" t="s">
        <v>455</v>
      </c>
      <c r="K4" s="7" t="s">
        <v>456</v>
      </c>
      <c r="L4" s="7" t="s">
        <v>457</v>
      </c>
      <c r="M4" s="8" t="s">
        <v>381</v>
      </c>
      <c r="N4" s="33"/>
      <c r="O4" s="33">
        <v>4</v>
      </c>
      <c r="P4" s="41">
        <v>100000</v>
      </c>
      <c r="Q4" s="42">
        <f>P3+P4</f>
        <v>150000</v>
      </c>
      <c r="R4" s="33"/>
      <c r="S4" s="33"/>
      <c r="T4" s="33"/>
    </row>
    <row r="5" spans="2:20" ht="17.5" thickBot="1" x14ac:dyDescent="0.5">
      <c r="B5" s="57" t="s">
        <v>379</v>
      </c>
      <c r="C5" s="58"/>
      <c r="D5" s="19">
        <f>COUNTA(C6:C194)</f>
        <v>189</v>
      </c>
      <c r="E5" s="40"/>
      <c r="F5" s="32"/>
      <c r="G5" s="35"/>
      <c r="H5" s="35"/>
      <c r="I5" s="35"/>
      <c r="J5" s="35"/>
      <c r="K5" s="35"/>
      <c r="L5" s="37"/>
      <c r="M5" s="36">
        <f>SUM(M6:M194)</f>
        <v>10650000</v>
      </c>
      <c r="N5" s="33"/>
      <c r="O5" s="33">
        <v>6</v>
      </c>
      <c r="P5" s="41">
        <v>200000</v>
      </c>
      <c r="Q5" s="42">
        <f>P3+P4+P5</f>
        <v>350000</v>
      </c>
      <c r="R5" s="33"/>
      <c r="S5" s="33"/>
      <c r="T5" s="33"/>
    </row>
    <row r="6" spans="2:20" x14ac:dyDescent="0.45">
      <c r="B6" s="16">
        <v>1</v>
      </c>
      <c r="C6" s="17" t="s">
        <v>1</v>
      </c>
      <c r="D6" s="17" t="s">
        <v>189</v>
      </c>
      <c r="E6" s="39">
        <v>6</v>
      </c>
      <c r="F6" s="43" t="str">
        <f>IF(IFERROR(VLOOKUP($E6,$O:$O,1,1),0)&gt;=F$2,"o","-")</f>
        <v>o</v>
      </c>
      <c r="G6" s="44" t="str">
        <f t="shared" ref="G6:L21" si="0">IF(IFERROR(VLOOKUP($E6,$O:$O,1,1),0)&gt;=G$2,"o","-")</f>
        <v>o</v>
      </c>
      <c r="H6" s="44" t="str">
        <f t="shared" si="0"/>
        <v>o</v>
      </c>
      <c r="I6" s="44" t="str">
        <f t="shared" si="0"/>
        <v>-</v>
      </c>
      <c r="J6" s="44" t="str">
        <f t="shared" si="0"/>
        <v>-</v>
      </c>
      <c r="K6" s="44" t="str">
        <f t="shared" si="0"/>
        <v>-</v>
      </c>
      <c r="L6" s="44" t="str">
        <f t="shared" si="0"/>
        <v>-</v>
      </c>
      <c r="M6" s="12">
        <f>IFERROR(VLOOKUP(E6,$O:$Q,3,1),0)</f>
        <v>350000</v>
      </c>
      <c r="N6" s="33"/>
      <c r="O6" s="33">
        <v>8</v>
      </c>
      <c r="P6" s="41">
        <v>400000</v>
      </c>
      <c r="Q6" s="42">
        <f>P3+P4+P5+P6</f>
        <v>750000</v>
      </c>
      <c r="R6" s="33"/>
      <c r="S6" s="33"/>
      <c r="T6" s="33"/>
    </row>
    <row r="7" spans="2:20" x14ac:dyDescent="0.45">
      <c r="B7" s="9">
        <v>2</v>
      </c>
      <c r="C7" s="10" t="s">
        <v>2</v>
      </c>
      <c r="D7" s="10" t="s">
        <v>190</v>
      </c>
      <c r="E7" s="39">
        <v>4</v>
      </c>
      <c r="F7" s="43" t="str">
        <f t="shared" ref="F7:L38" si="1">IF(IFERROR(VLOOKUP($E7,$O:$O,1,1),0)&gt;=F$2,"o","-")</f>
        <v>o</v>
      </c>
      <c r="G7" s="44" t="str">
        <f t="shared" si="0"/>
        <v>o</v>
      </c>
      <c r="H7" s="44" t="str">
        <f t="shared" si="0"/>
        <v>-</v>
      </c>
      <c r="I7" s="44" t="str">
        <f t="shared" si="0"/>
        <v>-</v>
      </c>
      <c r="J7" s="44" t="str">
        <f t="shared" si="0"/>
        <v>-</v>
      </c>
      <c r="K7" s="44" t="str">
        <f t="shared" si="0"/>
        <v>-</v>
      </c>
      <c r="L7" s="44" t="str">
        <f t="shared" si="0"/>
        <v>-</v>
      </c>
      <c r="M7" s="12">
        <f t="shared" ref="M7:M70" si="2">IFERROR(VLOOKUP(E7,$O:$Q,3,1),0)</f>
        <v>150000</v>
      </c>
      <c r="N7" s="33"/>
      <c r="O7" s="33">
        <v>10</v>
      </c>
      <c r="P7" s="41">
        <v>600000</v>
      </c>
      <c r="Q7" s="42">
        <f>P3+P4+P5+P6+P7</f>
        <v>1350000</v>
      </c>
      <c r="R7" s="33"/>
      <c r="S7" s="33"/>
      <c r="T7" s="33"/>
    </row>
    <row r="8" spans="2:20" x14ac:dyDescent="0.45">
      <c r="B8" s="9">
        <v>3</v>
      </c>
      <c r="C8" s="10" t="s">
        <v>3</v>
      </c>
      <c r="D8" s="10" t="s">
        <v>191</v>
      </c>
      <c r="E8" s="39">
        <v>4</v>
      </c>
      <c r="F8" s="43" t="str">
        <f t="shared" si="1"/>
        <v>o</v>
      </c>
      <c r="G8" s="44" t="str">
        <f t="shared" si="0"/>
        <v>o</v>
      </c>
      <c r="H8" s="44" t="str">
        <f t="shared" si="0"/>
        <v>-</v>
      </c>
      <c r="I8" s="44" t="str">
        <f t="shared" si="0"/>
        <v>-</v>
      </c>
      <c r="J8" s="44" t="str">
        <f t="shared" si="0"/>
        <v>-</v>
      </c>
      <c r="K8" s="44" t="str">
        <f t="shared" si="0"/>
        <v>-</v>
      </c>
      <c r="L8" s="44" t="str">
        <f t="shared" si="0"/>
        <v>-</v>
      </c>
      <c r="M8" s="12">
        <f t="shared" si="2"/>
        <v>150000</v>
      </c>
      <c r="N8" s="33"/>
      <c r="O8" s="33">
        <v>15</v>
      </c>
      <c r="P8" s="41">
        <v>1000000</v>
      </c>
      <c r="Q8" s="42">
        <f>P3+P4+P5+P6+P7+P8</f>
        <v>2350000</v>
      </c>
      <c r="R8" s="33"/>
      <c r="S8" s="33"/>
      <c r="T8" s="33"/>
    </row>
    <row r="9" spans="2:20" x14ac:dyDescent="0.45">
      <c r="B9" s="9">
        <v>4</v>
      </c>
      <c r="C9" s="10" t="s">
        <v>4</v>
      </c>
      <c r="D9" s="10" t="s">
        <v>192</v>
      </c>
      <c r="E9" s="39">
        <v>4</v>
      </c>
      <c r="F9" s="43" t="str">
        <f t="shared" si="1"/>
        <v>o</v>
      </c>
      <c r="G9" s="44" t="str">
        <f t="shared" si="0"/>
        <v>o</v>
      </c>
      <c r="H9" s="44" t="str">
        <f t="shared" si="0"/>
        <v>-</v>
      </c>
      <c r="I9" s="44" t="str">
        <f t="shared" si="0"/>
        <v>-</v>
      </c>
      <c r="J9" s="44" t="str">
        <f t="shared" si="0"/>
        <v>-</v>
      </c>
      <c r="K9" s="44" t="str">
        <f t="shared" si="0"/>
        <v>-</v>
      </c>
      <c r="L9" s="44" t="str">
        <f t="shared" si="0"/>
        <v>-</v>
      </c>
      <c r="M9" s="12">
        <f t="shared" si="2"/>
        <v>150000</v>
      </c>
      <c r="N9" s="33"/>
      <c r="O9" s="33">
        <v>20</v>
      </c>
      <c r="P9" s="41">
        <v>2000000</v>
      </c>
      <c r="Q9" s="42">
        <f>P3+P4+P5+P6+P7+P8+P9</f>
        <v>4350000</v>
      </c>
      <c r="R9" s="33"/>
      <c r="S9" s="33"/>
      <c r="T9" s="33"/>
    </row>
    <row r="10" spans="2:20" x14ac:dyDescent="0.45">
      <c r="B10" s="9">
        <v>5</v>
      </c>
      <c r="C10" s="10" t="s">
        <v>5</v>
      </c>
      <c r="D10" s="10" t="s">
        <v>193</v>
      </c>
      <c r="E10" s="39">
        <v>4</v>
      </c>
      <c r="F10" s="43" t="str">
        <f t="shared" si="1"/>
        <v>o</v>
      </c>
      <c r="G10" s="44" t="str">
        <f t="shared" si="0"/>
        <v>o</v>
      </c>
      <c r="H10" s="44" t="str">
        <f t="shared" si="0"/>
        <v>-</v>
      </c>
      <c r="I10" s="44" t="str">
        <f t="shared" si="0"/>
        <v>-</v>
      </c>
      <c r="J10" s="44" t="str">
        <f t="shared" si="0"/>
        <v>-</v>
      </c>
      <c r="K10" s="44" t="str">
        <f t="shared" si="0"/>
        <v>-</v>
      </c>
      <c r="L10" s="44" t="str">
        <f t="shared" si="0"/>
        <v>-</v>
      </c>
      <c r="M10" s="12">
        <f t="shared" si="2"/>
        <v>150000</v>
      </c>
      <c r="N10" s="33"/>
      <c r="R10" s="33"/>
      <c r="S10" s="33"/>
      <c r="T10" s="33"/>
    </row>
    <row r="11" spans="2:20" x14ac:dyDescent="0.45">
      <c r="B11" s="9">
        <v>6</v>
      </c>
      <c r="C11" s="10" t="s">
        <v>6</v>
      </c>
      <c r="D11" s="10" t="s">
        <v>194</v>
      </c>
      <c r="E11" s="39">
        <v>4</v>
      </c>
      <c r="F11" s="43" t="str">
        <f t="shared" si="1"/>
        <v>o</v>
      </c>
      <c r="G11" s="44" t="str">
        <f t="shared" si="0"/>
        <v>o</v>
      </c>
      <c r="H11" s="44" t="str">
        <f t="shared" si="0"/>
        <v>-</v>
      </c>
      <c r="I11" s="44" t="str">
        <f t="shared" si="0"/>
        <v>-</v>
      </c>
      <c r="J11" s="44" t="str">
        <f t="shared" si="0"/>
        <v>-</v>
      </c>
      <c r="K11" s="44" t="str">
        <f t="shared" si="0"/>
        <v>-</v>
      </c>
      <c r="L11" s="44" t="str">
        <f t="shared" si="0"/>
        <v>-</v>
      </c>
      <c r="M11" s="12">
        <f t="shared" si="2"/>
        <v>150000</v>
      </c>
      <c r="N11" s="33"/>
      <c r="O11" s="33"/>
      <c r="P11" s="41"/>
      <c r="Q11" s="33"/>
      <c r="R11" s="33"/>
      <c r="S11" s="33"/>
      <c r="T11" s="33"/>
    </row>
    <row r="12" spans="2:20" x14ac:dyDescent="0.45">
      <c r="B12" s="9">
        <v>7</v>
      </c>
      <c r="C12" s="10" t="s">
        <v>7</v>
      </c>
      <c r="D12" s="10" t="s">
        <v>195</v>
      </c>
      <c r="E12" s="39">
        <v>4</v>
      </c>
      <c r="F12" s="43" t="str">
        <f t="shared" si="1"/>
        <v>o</v>
      </c>
      <c r="G12" s="44" t="str">
        <f t="shared" si="0"/>
        <v>o</v>
      </c>
      <c r="H12" s="44" t="str">
        <f t="shared" si="0"/>
        <v>-</v>
      </c>
      <c r="I12" s="44" t="str">
        <f t="shared" si="0"/>
        <v>-</v>
      </c>
      <c r="J12" s="44" t="str">
        <f t="shared" si="0"/>
        <v>-</v>
      </c>
      <c r="K12" s="44" t="str">
        <f t="shared" si="0"/>
        <v>-</v>
      </c>
      <c r="L12" s="44" t="str">
        <f t="shared" si="0"/>
        <v>-</v>
      </c>
      <c r="M12" s="12">
        <f t="shared" si="2"/>
        <v>150000</v>
      </c>
      <c r="N12" s="33"/>
      <c r="O12" s="33"/>
      <c r="P12" s="41"/>
      <c r="Q12" s="33"/>
      <c r="R12" s="33"/>
      <c r="S12" s="33"/>
      <c r="T12" s="33"/>
    </row>
    <row r="13" spans="2:20" x14ac:dyDescent="0.45">
      <c r="B13" s="9">
        <v>8</v>
      </c>
      <c r="C13" s="10" t="s">
        <v>8</v>
      </c>
      <c r="D13" s="10" t="s">
        <v>196</v>
      </c>
      <c r="E13" s="39">
        <v>4</v>
      </c>
      <c r="F13" s="43" t="str">
        <f t="shared" si="1"/>
        <v>o</v>
      </c>
      <c r="G13" s="44" t="str">
        <f t="shared" si="0"/>
        <v>o</v>
      </c>
      <c r="H13" s="44" t="str">
        <f t="shared" si="0"/>
        <v>-</v>
      </c>
      <c r="I13" s="44" t="str">
        <f t="shared" si="0"/>
        <v>-</v>
      </c>
      <c r="J13" s="44" t="str">
        <f t="shared" si="0"/>
        <v>-</v>
      </c>
      <c r="K13" s="44" t="str">
        <f t="shared" si="0"/>
        <v>-</v>
      </c>
      <c r="L13" s="44" t="str">
        <f t="shared" si="0"/>
        <v>-</v>
      </c>
      <c r="M13" s="12">
        <f t="shared" si="2"/>
        <v>150000</v>
      </c>
      <c r="N13" s="33"/>
      <c r="O13" s="33"/>
      <c r="P13" s="41"/>
      <c r="Q13" s="33"/>
      <c r="R13" s="33"/>
      <c r="S13" s="33"/>
      <c r="T13" s="33"/>
    </row>
    <row r="14" spans="2:20" x14ac:dyDescent="0.45">
      <c r="B14" s="9">
        <v>9</v>
      </c>
      <c r="C14" s="10" t="s">
        <v>9</v>
      </c>
      <c r="D14" s="10" t="s">
        <v>197</v>
      </c>
      <c r="E14" s="39">
        <v>4</v>
      </c>
      <c r="F14" s="43" t="str">
        <f t="shared" si="1"/>
        <v>o</v>
      </c>
      <c r="G14" s="44" t="str">
        <f t="shared" si="0"/>
        <v>o</v>
      </c>
      <c r="H14" s="44" t="str">
        <f t="shared" si="0"/>
        <v>-</v>
      </c>
      <c r="I14" s="44" t="str">
        <f t="shared" si="0"/>
        <v>-</v>
      </c>
      <c r="J14" s="44" t="str">
        <f t="shared" si="0"/>
        <v>-</v>
      </c>
      <c r="K14" s="44" t="str">
        <f t="shared" si="0"/>
        <v>-</v>
      </c>
      <c r="L14" s="44" t="str">
        <f t="shared" si="0"/>
        <v>-</v>
      </c>
      <c r="M14" s="12">
        <f t="shared" si="2"/>
        <v>150000</v>
      </c>
      <c r="N14" s="33"/>
      <c r="O14" s="33"/>
      <c r="P14" s="41"/>
      <c r="Q14" s="33"/>
      <c r="R14" s="33"/>
      <c r="S14" s="33"/>
      <c r="T14" s="33"/>
    </row>
    <row r="15" spans="2:20" x14ac:dyDescent="0.45">
      <c r="B15" s="9">
        <v>10</v>
      </c>
      <c r="C15" s="10" t="s">
        <v>10</v>
      </c>
      <c r="D15" s="10" t="s">
        <v>198</v>
      </c>
      <c r="E15" s="39">
        <v>4</v>
      </c>
      <c r="F15" s="43" t="str">
        <f t="shared" si="1"/>
        <v>o</v>
      </c>
      <c r="G15" s="44" t="str">
        <f t="shared" si="0"/>
        <v>o</v>
      </c>
      <c r="H15" s="44" t="str">
        <f t="shared" si="0"/>
        <v>-</v>
      </c>
      <c r="I15" s="44" t="str">
        <f t="shared" si="0"/>
        <v>-</v>
      </c>
      <c r="J15" s="44" t="str">
        <f t="shared" si="0"/>
        <v>-</v>
      </c>
      <c r="K15" s="44" t="str">
        <f t="shared" si="0"/>
        <v>-</v>
      </c>
      <c r="L15" s="44" t="str">
        <f t="shared" si="0"/>
        <v>-</v>
      </c>
      <c r="M15" s="12">
        <f t="shared" si="2"/>
        <v>150000</v>
      </c>
      <c r="N15" s="33"/>
      <c r="O15" s="33"/>
      <c r="P15" s="41"/>
      <c r="Q15" s="33"/>
      <c r="R15" s="33"/>
      <c r="S15" s="33"/>
      <c r="T15" s="33"/>
    </row>
    <row r="16" spans="2:20" x14ac:dyDescent="0.45">
      <c r="B16" s="9">
        <v>11</v>
      </c>
      <c r="C16" s="10" t="s">
        <v>11</v>
      </c>
      <c r="D16" s="10" t="s">
        <v>199</v>
      </c>
      <c r="E16" s="39">
        <v>2</v>
      </c>
      <c r="F16" s="43" t="str">
        <f t="shared" si="1"/>
        <v>o</v>
      </c>
      <c r="G16" s="44" t="str">
        <f t="shared" si="0"/>
        <v>-</v>
      </c>
      <c r="H16" s="44" t="str">
        <f t="shared" si="0"/>
        <v>-</v>
      </c>
      <c r="I16" s="44" t="str">
        <f t="shared" si="0"/>
        <v>-</v>
      </c>
      <c r="J16" s="44" t="str">
        <f t="shared" si="0"/>
        <v>-</v>
      </c>
      <c r="K16" s="44" t="str">
        <f t="shared" si="0"/>
        <v>-</v>
      </c>
      <c r="L16" s="44" t="str">
        <f t="shared" si="0"/>
        <v>-</v>
      </c>
      <c r="M16" s="12">
        <f t="shared" si="2"/>
        <v>50000</v>
      </c>
      <c r="N16" s="33"/>
      <c r="O16" s="33"/>
      <c r="P16" s="41"/>
      <c r="Q16" s="33"/>
      <c r="R16" s="33"/>
      <c r="S16" s="33"/>
      <c r="T16" s="33"/>
    </row>
    <row r="17" spans="2:15" x14ac:dyDescent="0.45">
      <c r="B17" s="9">
        <v>12</v>
      </c>
      <c r="C17" s="10" t="s">
        <v>12</v>
      </c>
      <c r="D17" s="10" t="s">
        <v>200</v>
      </c>
      <c r="E17" s="39">
        <v>2</v>
      </c>
      <c r="F17" s="43" t="str">
        <f t="shared" si="1"/>
        <v>o</v>
      </c>
      <c r="G17" s="44" t="str">
        <f t="shared" si="0"/>
        <v>-</v>
      </c>
      <c r="H17" s="44" t="str">
        <f t="shared" si="0"/>
        <v>-</v>
      </c>
      <c r="I17" s="44" t="str">
        <f t="shared" si="0"/>
        <v>-</v>
      </c>
      <c r="J17" s="44" t="str">
        <f t="shared" si="0"/>
        <v>-</v>
      </c>
      <c r="K17" s="44" t="str">
        <f t="shared" si="0"/>
        <v>-</v>
      </c>
      <c r="L17" s="44" t="str">
        <f t="shared" si="0"/>
        <v>-</v>
      </c>
      <c r="M17" s="12">
        <f t="shared" si="2"/>
        <v>50000</v>
      </c>
    </row>
    <row r="18" spans="2:15" x14ac:dyDescent="0.45">
      <c r="B18" s="9">
        <v>13</v>
      </c>
      <c r="C18" s="10" t="s">
        <v>13</v>
      </c>
      <c r="D18" s="10" t="s">
        <v>201</v>
      </c>
      <c r="E18" s="39">
        <v>2</v>
      </c>
      <c r="F18" s="43" t="str">
        <f t="shared" si="1"/>
        <v>o</v>
      </c>
      <c r="G18" s="44" t="str">
        <f t="shared" si="0"/>
        <v>-</v>
      </c>
      <c r="H18" s="44" t="str">
        <f t="shared" si="0"/>
        <v>-</v>
      </c>
      <c r="I18" s="44" t="str">
        <f t="shared" si="0"/>
        <v>-</v>
      </c>
      <c r="J18" s="44" t="str">
        <f t="shared" si="0"/>
        <v>-</v>
      </c>
      <c r="K18" s="44" t="str">
        <f t="shared" si="0"/>
        <v>-</v>
      </c>
      <c r="L18" s="44" t="str">
        <f t="shared" si="0"/>
        <v>-</v>
      </c>
      <c r="M18" s="12">
        <f t="shared" si="2"/>
        <v>50000</v>
      </c>
    </row>
    <row r="19" spans="2:15" x14ac:dyDescent="0.45">
      <c r="B19" s="9">
        <v>14</v>
      </c>
      <c r="C19" s="10" t="s">
        <v>14</v>
      </c>
      <c r="D19" s="10" t="s">
        <v>202</v>
      </c>
      <c r="E19" s="39">
        <v>2</v>
      </c>
      <c r="F19" s="43" t="str">
        <f t="shared" si="1"/>
        <v>o</v>
      </c>
      <c r="G19" s="44" t="str">
        <f t="shared" si="0"/>
        <v>-</v>
      </c>
      <c r="H19" s="44" t="str">
        <f t="shared" si="0"/>
        <v>-</v>
      </c>
      <c r="I19" s="44" t="str">
        <f t="shared" si="0"/>
        <v>-</v>
      </c>
      <c r="J19" s="44" t="str">
        <f t="shared" si="0"/>
        <v>-</v>
      </c>
      <c r="K19" s="44" t="str">
        <f t="shared" si="0"/>
        <v>-</v>
      </c>
      <c r="L19" s="44" t="str">
        <f t="shared" si="0"/>
        <v>-</v>
      </c>
      <c r="M19" s="12">
        <f t="shared" si="2"/>
        <v>50000</v>
      </c>
      <c r="O19" t="s">
        <v>446</v>
      </c>
    </row>
    <row r="20" spans="2:15" x14ac:dyDescent="0.45">
      <c r="B20" s="9">
        <v>15</v>
      </c>
      <c r="C20" s="10" t="s">
        <v>15</v>
      </c>
      <c r="D20" s="10" t="s">
        <v>203</v>
      </c>
      <c r="E20" s="39">
        <v>2</v>
      </c>
      <c r="F20" s="43" t="str">
        <f t="shared" si="1"/>
        <v>o</v>
      </c>
      <c r="G20" s="44" t="str">
        <f t="shared" si="0"/>
        <v>-</v>
      </c>
      <c r="H20" s="44" t="str">
        <f t="shared" si="0"/>
        <v>-</v>
      </c>
      <c r="I20" s="44" t="str">
        <f t="shared" si="0"/>
        <v>-</v>
      </c>
      <c r="J20" s="44" t="str">
        <f t="shared" si="0"/>
        <v>-</v>
      </c>
      <c r="K20" s="44" t="str">
        <f t="shared" si="0"/>
        <v>-</v>
      </c>
      <c r="L20" s="44" t="str">
        <f t="shared" si="0"/>
        <v>-</v>
      </c>
      <c r="M20" s="12">
        <f t="shared" si="2"/>
        <v>50000</v>
      </c>
      <c r="O20" t="s">
        <v>448</v>
      </c>
    </row>
    <row r="21" spans="2:15" x14ac:dyDescent="0.45">
      <c r="B21" s="9">
        <v>16</v>
      </c>
      <c r="C21" s="10" t="s">
        <v>16</v>
      </c>
      <c r="D21" s="10" t="s">
        <v>204</v>
      </c>
      <c r="E21" s="39">
        <v>2</v>
      </c>
      <c r="F21" s="43" t="str">
        <f t="shared" si="1"/>
        <v>o</v>
      </c>
      <c r="G21" s="44" t="str">
        <f t="shared" si="0"/>
        <v>-</v>
      </c>
      <c r="H21" s="44" t="str">
        <f t="shared" si="0"/>
        <v>-</v>
      </c>
      <c r="I21" s="44" t="str">
        <f t="shared" si="0"/>
        <v>-</v>
      </c>
      <c r="J21" s="44" t="str">
        <f t="shared" si="0"/>
        <v>-</v>
      </c>
      <c r="K21" s="44" t="str">
        <f t="shared" si="0"/>
        <v>-</v>
      </c>
      <c r="L21" s="44" t="str">
        <f t="shared" si="0"/>
        <v>-</v>
      </c>
      <c r="M21" s="12">
        <f t="shared" si="2"/>
        <v>50000</v>
      </c>
      <c r="O21" t="s">
        <v>449</v>
      </c>
    </row>
    <row r="22" spans="2:15" x14ac:dyDescent="0.45">
      <c r="B22" s="9">
        <v>17</v>
      </c>
      <c r="C22" s="10" t="s">
        <v>17</v>
      </c>
      <c r="D22" s="10" t="s">
        <v>205</v>
      </c>
      <c r="E22" s="39">
        <v>2</v>
      </c>
      <c r="F22" s="43" t="str">
        <f t="shared" si="1"/>
        <v>o</v>
      </c>
      <c r="G22" s="44" t="str">
        <f t="shared" si="1"/>
        <v>-</v>
      </c>
      <c r="H22" s="44" t="str">
        <f t="shared" si="1"/>
        <v>-</v>
      </c>
      <c r="I22" s="44" t="str">
        <f t="shared" si="1"/>
        <v>-</v>
      </c>
      <c r="J22" s="44" t="str">
        <f t="shared" si="1"/>
        <v>-</v>
      </c>
      <c r="K22" s="44" t="str">
        <f t="shared" si="1"/>
        <v>-</v>
      </c>
      <c r="L22" s="44" t="str">
        <f t="shared" si="1"/>
        <v>-</v>
      </c>
      <c r="M22" s="12">
        <f t="shared" si="2"/>
        <v>50000</v>
      </c>
    </row>
    <row r="23" spans="2:15" x14ac:dyDescent="0.45">
      <c r="B23" s="9">
        <v>18</v>
      </c>
      <c r="C23" s="10" t="s">
        <v>18</v>
      </c>
      <c r="D23" s="10" t="s">
        <v>206</v>
      </c>
      <c r="E23" s="39">
        <v>2</v>
      </c>
      <c r="F23" s="43" t="str">
        <f t="shared" si="1"/>
        <v>o</v>
      </c>
      <c r="G23" s="44" t="str">
        <f t="shared" si="1"/>
        <v>-</v>
      </c>
      <c r="H23" s="44" t="str">
        <f t="shared" si="1"/>
        <v>-</v>
      </c>
      <c r="I23" s="44" t="str">
        <f t="shared" si="1"/>
        <v>-</v>
      </c>
      <c r="J23" s="44" t="str">
        <f t="shared" si="1"/>
        <v>-</v>
      </c>
      <c r="K23" s="44" t="str">
        <f t="shared" si="1"/>
        <v>-</v>
      </c>
      <c r="L23" s="44" t="str">
        <f t="shared" si="1"/>
        <v>-</v>
      </c>
      <c r="M23" s="12">
        <f t="shared" si="2"/>
        <v>50000</v>
      </c>
      <c r="O23" t="s">
        <v>447</v>
      </c>
    </row>
    <row r="24" spans="2:15" x14ac:dyDescent="0.45">
      <c r="B24" s="9">
        <v>19</v>
      </c>
      <c r="C24" s="10" t="s">
        <v>19</v>
      </c>
      <c r="D24" s="10" t="s">
        <v>207</v>
      </c>
      <c r="E24" s="39">
        <v>2</v>
      </c>
      <c r="F24" s="43" t="str">
        <f t="shared" si="1"/>
        <v>o</v>
      </c>
      <c r="G24" s="44" t="str">
        <f t="shared" si="1"/>
        <v>-</v>
      </c>
      <c r="H24" s="44" t="str">
        <f t="shared" si="1"/>
        <v>-</v>
      </c>
      <c r="I24" s="44" t="str">
        <f t="shared" si="1"/>
        <v>-</v>
      </c>
      <c r="J24" s="44" t="str">
        <f t="shared" si="1"/>
        <v>-</v>
      </c>
      <c r="K24" s="44" t="str">
        <f t="shared" si="1"/>
        <v>-</v>
      </c>
      <c r="L24" s="44" t="str">
        <f t="shared" si="1"/>
        <v>-</v>
      </c>
      <c r="M24" s="12">
        <f t="shared" si="2"/>
        <v>50000</v>
      </c>
      <c r="O24" t="s">
        <v>450</v>
      </c>
    </row>
    <row r="25" spans="2:15" x14ac:dyDescent="0.45">
      <c r="B25" s="9">
        <v>20</v>
      </c>
      <c r="C25" s="10" t="s">
        <v>20</v>
      </c>
      <c r="D25" s="10" t="s">
        <v>208</v>
      </c>
      <c r="E25" s="39">
        <v>2</v>
      </c>
      <c r="F25" s="43" t="str">
        <f t="shared" si="1"/>
        <v>o</v>
      </c>
      <c r="G25" s="44" t="str">
        <f t="shared" si="1"/>
        <v>-</v>
      </c>
      <c r="H25" s="44" t="str">
        <f t="shared" si="1"/>
        <v>-</v>
      </c>
      <c r="I25" s="44" t="str">
        <f t="shared" si="1"/>
        <v>-</v>
      </c>
      <c r="J25" s="44" t="str">
        <f t="shared" si="1"/>
        <v>-</v>
      </c>
      <c r="K25" s="44" t="str">
        <f t="shared" si="1"/>
        <v>-</v>
      </c>
      <c r="L25" s="44" t="str">
        <f t="shared" si="1"/>
        <v>-</v>
      </c>
      <c r="M25" s="12">
        <f t="shared" si="2"/>
        <v>50000</v>
      </c>
    </row>
    <row r="26" spans="2:15" x14ac:dyDescent="0.45">
      <c r="B26" s="9">
        <v>21</v>
      </c>
      <c r="C26" s="10" t="s">
        <v>21</v>
      </c>
      <c r="D26" s="10" t="s">
        <v>209</v>
      </c>
      <c r="E26" s="39">
        <v>2</v>
      </c>
      <c r="F26" s="43" t="str">
        <f t="shared" si="1"/>
        <v>o</v>
      </c>
      <c r="G26" s="44" t="str">
        <f t="shared" si="1"/>
        <v>-</v>
      </c>
      <c r="H26" s="44" t="str">
        <f t="shared" si="1"/>
        <v>-</v>
      </c>
      <c r="I26" s="44" t="str">
        <f t="shared" si="1"/>
        <v>-</v>
      </c>
      <c r="J26" s="44" t="str">
        <f t="shared" si="1"/>
        <v>-</v>
      </c>
      <c r="K26" s="44" t="str">
        <f t="shared" si="1"/>
        <v>-</v>
      </c>
      <c r="L26" s="44" t="str">
        <f t="shared" si="1"/>
        <v>-</v>
      </c>
      <c r="M26" s="12">
        <f t="shared" si="2"/>
        <v>50000</v>
      </c>
    </row>
    <row r="27" spans="2:15" x14ac:dyDescent="0.45">
      <c r="B27" s="9">
        <v>22</v>
      </c>
      <c r="C27" s="10" t="s">
        <v>22</v>
      </c>
      <c r="D27" s="10" t="s">
        <v>210</v>
      </c>
      <c r="E27" s="39">
        <v>2</v>
      </c>
      <c r="F27" s="43" t="str">
        <f t="shared" si="1"/>
        <v>o</v>
      </c>
      <c r="G27" s="44" t="str">
        <f t="shared" si="1"/>
        <v>-</v>
      </c>
      <c r="H27" s="44" t="str">
        <f t="shared" si="1"/>
        <v>-</v>
      </c>
      <c r="I27" s="44" t="str">
        <f t="shared" si="1"/>
        <v>-</v>
      </c>
      <c r="J27" s="44" t="str">
        <f t="shared" si="1"/>
        <v>-</v>
      </c>
      <c r="K27" s="44" t="str">
        <f t="shared" si="1"/>
        <v>-</v>
      </c>
      <c r="L27" s="44" t="str">
        <f t="shared" si="1"/>
        <v>-</v>
      </c>
      <c r="M27" s="12">
        <f t="shared" si="2"/>
        <v>50000</v>
      </c>
    </row>
    <row r="28" spans="2:15" x14ac:dyDescent="0.45">
      <c r="B28" s="9">
        <v>23</v>
      </c>
      <c r="C28" s="10" t="s">
        <v>23</v>
      </c>
      <c r="D28" s="10" t="s">
        <v>211</v>
      </c>
      <c r="E28" s="39">
        <v>2</v>
      </c>
      <c r="F28" s="43" t="str">
        <f t="shared" si="1"/>
        <v>o</v>
      </c>
      <c r="G28" s="44" t="str">
        <f t="shared" si="1"/>
        <v>-</v>
      </c>
      <c r="H28" s="44" t="str">
        <f t="shared" si="1"/>
        <v>-</v>
      </c>
      <c r="I28" s="44" t="str">
        <f t="shared" si="1"/>
        <v>-</v>
      </c>
      <c r="J28" s="44" t="str">
        <f t="shared" si="1"/>
        <v>-</v>
      </c>
      <c r="K28" s="44" t="str">
        <f t="shared" si="1"/>
        <v>-</v>
      </c>
      <c r="L28" s="44" t="str">
        <f t="shared" si="1"/>
        <v>-</v>
      </c>
      <c r="M28" s="12">
        <f t="shared" si="2"/>
        <v>50000</v>
      </c>
    </row>
    <row r="29" spans="2:15" x14ac:dyDescent="0.45">
      <c r="B29" s="9">
        <v>24</v>
      </c>
      <c r="C29" s="10" t="s">
        <v>24</v>
      </c>
      <c r="D29" s="10" t="s">
        <v>212</v>
      </c>
      <c r="E29" s="39">
        <v>2</v>
      </c>
      <c r="F29" s="43" t="str">
        <f t="shared" si="1"/>
        <v>o</v>
      </c>
      <c r="G29" s="44" t="str">
        <f t="shared" si="1"/>
        <v>-</v>
      </c>
      <c r="H29" s="44" t="str">
        <f t="shared" si="1"/>
        <v>-</v>
      </c>
      <c r="I29" s="44" t="str">
        <f t="shared" si="1"/>
        <v>-</v>
      </c>
      <c r="J29" s="44" t="str">
        <f t="shared" si="1"/>
        <v>-</v>
      </c>
      <c r="K29" s="44" t="str">
        <f t="shared" si="1"/>
        <v>-</v>
      </c>
      <c r="L29" s="44" t="str">
        <f t="shared" si="1"/>
        <v>-</v>
      </c>
      <c r="M29" s="12">
        <f t="shared" si="2"/>
        <v>50000</v>
      </c>
    </row>
    <row r="30" spans="2:15" x14ac:dyDescent="0.45">
      <c r="B30" s="9">
        <v>25</v>
      </c>
      <c r="C30" s="10" t="s">
        <v>25</v>
      </c>
      <c r="D30" s="10" t="s">
        <v>213</v>
      </c>
      <c r="E30" s="39">
        <v>2</v>
      </c>
      <c r="F30" s="43" t="str">
        <f t="shared" si="1"/>
        <v>o</v>
      </c>
      <c r="G30" s="44" t="str">
        <f t="shared" si="1"/>
        <v>-</v>
      </c>
      <c r="H30" s="44" t="str">
        <f t="shared" si="1"/>
        <v>-</v>
      </c>
      <c r="I30" s="44" t="str">
        <f t="shared" si="1"/>
        <v>-</v>
      </c>
      <c r="J30" s="44" t="str">
        <f t="shared" si="1"/>
        <v>-</v>
      </c>
      <c r="K30" s="44" t="str">
        <f t="shared" si="1"/>
        <v>-</v>
      </c>
      <c r="L30" s="44" t="str">
        <f t="shared" si="1"/>
        <v>-</v>
      </c>
      <c r="M30" s="12">
        <f t="shared" si="2"/>
        <v>50000</v>
      </c>
    </row>
    <row r="31" spans="2:15" x14ac:dyDescent="0.45">
      <c r="B31" s="9">
        <v>26</v>
      </c>
      <c r="C31" s="10" t="s">
        <v>26</v>
      </c>
      <c r="D31" s="10" t="s">
        <v>214</v>
      </c>
      <c r="E31" s="39">
        <v>2</v>
      </c>
      <c r="F31" s="43" t="str">
        <f t="shared" si="1"/>
        <v>o</v>
      </c>
      <c r="G31" s="44" t="str">
        <f t="shared" si="1"/>
        <v>-</v>
      </c>
      <c r="H31" s="44" t="str">
        <f t="shared" si="1"/>
        <v>-</v>
      </c>
      <c r="I31" s="44" t="str">
        <f t="shared" si="1"/>
        <v>-</v>
      </c>
      <c r="J31" s="44" t="str">
        <f t="shared" si="1"/>
        <v>-</v>
      </c>
      <c r="K31" s="44" t="str">
        <f t="shared" si="1"/>
        <v>-</v>
      </c>
      <c r="L31" s="44" t="str">
        <f t="shared" si="1"/>
        <v>-</v>
      </c>
      <c r="M31" s="12">
        <f t="shared" si="2"/>
        <v>50000</v>
      </c>
    </row>
    <row r="32" spans="2:15" x14ac:dyDescent="0.45">
      <c r="B32" s="9">
        <v>27</v>
      </c>
      <c r="C32" s="10" t="s">
        <v>27</v>
      </c>
      <c r="D32" s="10" t="s">
        <v>215</v>
      </c>
      <c r="E32" s="39">
        <v>2</v>
      </c>
      <c r="F32" s="43" t="str">
        <f t="shared" si="1"/>
        <v>o</v>
      </c>
      <c r="G32" s="44" t="str">
        <f t="shared" si="1"/>
        <v>-</v>
      </c>
      <c r="H32" s="44" t="str">
        <f t="shared" si="1"/>
        <v>-</v>
      </c>
      <c r="I32" s="44" t="str">
        <f t="shared" si="1"/>
        <v>-</v>
      </c>
      <c r="J32" s="44" t="str">
        <f t="shared" si="1"/>
        <v>-</v>
      </c>
      <c r="K32" s="44" t="str">
        <f t="shared" si="1"/>
        <v>-</v>
      </c>
      <c r="L32" s="44" t="str">
        <f t="shared" si="1"/>
        <v>-</v>
      </c>
      <c r="M32" s="12">
        <f t="shared" si="2"/>
        <v>50000</v>
      </c>
    </row>
    <row r="33" spans="2:13" x14ac:dyDescent="0.45">
      <c r="B33" s="9">
        <v>28</v>
      </c>
      <c r="C33" s="10" t="s">
        <v>28</v>
      </c>
      <c r="D33" s="10" t="s">
        <v>216</v>
      </c>
      <c r="E33" s="39">
        <v>2</v>
      </c>
      <c r="F33" s="43" t="str">
        <f t="shared" si="1"/>
        <v>o</v>
      </c>
      <c r="G33" s="44" t="str">
        <f t="shared" si="1"/>
        <v>-</v>
      </c>
      <c r="H33" s="44" t="str">
        <f t="shared" si="1"/>
        <v>-</v>
      </c>
      <c r="I33" s="44" t="str">
        <f t="shared" si="1"/>
        <v>-</v>
      </c>
      <c r="J33" s="44" t="str">
        <f t="shared" si="1"/>
        <v>-</v>
      </c>
      <c r="K33" s="44" t="str">
        <f t="shared" si="1"/>
        <v>-</v>
      </c>
      <c r="L33" s="44" t="str">
        <f t="shared" si="1"/>
        <v>-</v>
      </c>
      <c r="M33" s="12">
        <f t="shared" si="2"/>
        <v>50000</v>
      </c>
    </row>
    <row r="34" spans="2:13" x14ac:dyDescent="0.45">
      <c r="B34" s="9">
        <v>29</v>
      </c>
      <c r="C34" s="10" t="s">
        <v>29</v>
      </c>
      <c r="D34" s="10" t="s">
        <v>217</v>
      </c>
      <c r="E34" s="39">
        <v>2</v>
      </c>
      <c r="F34" s="43" t="str">
        <f t="shared" si="1"/>
        <v>o</v>
      </c>
      <c r="G34" s="44" t="str">
        <f t="shared" si="1"/>
        <v>-</v>
      </c>
      <c r="H34" s="44" t="str">
        <f t="shared" si="1"/>
        <v>-</v>
      </c>
      <c r="I34" s="44" t="str">
        <f t="shared" si="1"/>
        <v>-</v>
      </c>
      <c r="J34" s="44" t="str">
        <f t="shared" si="1"/>
        <v>-</v>
      </c>
      <c r="K34" s="44" t="str">
        <f t="shared" si="1"/>
        <v>-</v>
      </c>
      <c r="L34" s="44" t="str">
        <f t="shared" si="1"/>
        <v>-</v>
      </c>
      <c r="M34" s="12">
        <f t="shared" si="2"/>
        <v>50000</v>
      </c>
    </row>
    <row r="35" spans="2:13" x14ac:dyDescent="0.45">
      <c r="B35" s="9">
        <v>30</v>
      </c>
      <c r="C35" s="10" t="s">
        <v>30</v>
      </c>
      <c r="D35" s="10" t="s">
        <v>218</v>
      </c>
      <c r="E35" s="39">
        <v>2</v>
      </c>
      <c r="F35" s="43" t="str">
        <f t="shared" si="1"/>
        <v>o</v>
      </c>
      <c r="G35" s="44" t="str">
        <f t="shared" si="1"/>
        <v>-</v>
      </c>
      <c r="H35" s="44" t="str">
        <f t="shared" si="1"/>
        <v>-</v>
      </c>
      <c r="I35" s="44" t="str">
        <f t="shared" si="1"/>
        <v>-</v>
      </c>
      <c r="J35" s="44" t="str">
        <f t="shared" si="1"/>
        <v>-</v>
      </c>
      <c r="K35" s="44" t="str">
        <f t="shared" si="1"/>
        <v>-</v>
      </c>
      <c r="L35" s="44" t="str">
        <f t="shared" si="1"/>
        <v>-</v>
      </c>
      <c r="M35" s="12">
        <f t="shared" si="2"/>
        <v>50000</v>
      </c>
    </row>
    <row r="36" spans="2:13" x14ac:dyDescent="0.45">
      <c r="B36" s="9">
        <v>31</v>
      </c>
      <c r="C36" s="10" t="s">
        <v>31</v>
      </c>
      <c r="D36" s="10" t="s">
        <v>219</v>
      </c>
      <c r="E36" s="39">
        <v>2</v>
      </c>
      <c r="F36" s="43" t="str">
        <f t="shared" si="1"/>
        <v>o</v>
      </c>
      <c r="G36" s="44" t="str">
        <f t="shared" si="1"/>
        <v>-</v>
      </c>
      <c r="H36" s="44" t="str">
        <f t="shared" si="1"/>
        <v>-</v>
      </c>
      <c r="I36" s="44" t="str">
        <f t="shared" si="1"/>
        <v>-</v>
      </c>
      <c r="J36" s="44" t="str">
        <f t="shared" si="1"/>
        <v>-</v>
      </c>
      <c r="K36" s="44" t="str">
        <f t="shared" si="1"/>
        <v>-</v>
      </c>
      <c r="L36" s="44" t="str">
        <f t="shared" si="1"/>
        <v>-</v>
      </c>
      <c r="M36" s="12">
        <f t="shared" si="2"/>
        <v>50000</v>
      </c>
    </row>
    <row r="37" spans="2:13" x14ac:dyDescent="0.45">
      <c r="B37" s="9">
        <v>32</v>
      </c>
      <c r="C37" s="10" t="s">
        <v>32</v>
      </c>
      <c r="D37" s="10" t="s">
        <v>220</v>
      </c>
      <c r="E37" s="39">
        <v>2</v>
      </c>
      <c r="F37" s="43" t="str">
        <f t="shared" si="1"/>
        <v>o</v>
      </c>
      <c r="G37" s="44" t="str">
        <f t="shared" si="1"/>
        <v>-</v>
      </c>
      <c r="H37" s="44" t="str">
        <f t="shared" si="1"/>
        <v>-</v>
      </c>
      <c r="I37" s="44" t="str">
        <f t="shared" si="1"/>
        <v>-</v>
      </c>
      <c r="J37" s="44" t="str">
        <f t="shared" si="1"/>
        <v>-</v>
      </c>
      <c r="K37" s="44" t="str">
        <f t="shared" si="1"/>
        <v>-</v>
      </c>
      <c r="L37" s="44" t="str">
        <f t="shared" si="1"/>
        <v>-</v>
      </c>
      <c r="M37" s="12">
        <f t="shared" si="2"/>
        <v>50000</v>
      </c>
    </row>
    <row r="38" spans="2:13" x14ac:dyDescent="0.45">
      <c r="B38" s="9">
        <v>33</v>
      </c>
      <c r="C38" s="10" t="s">
        <v>33</v>
      </c>
      <c r="D38" s="10" t="s">
        <v>221</v>
      </c>
      <c r="E38" s="39">
        <v>2</v>
      </c>
      <c r="F38" s="43" t="str">
        <f t="shared" si="1"/>
        <v>o</v>
      </c>
      <c r="G38" s="44" t="str">
        <f t="shared" si="1"/>
        <v>-</v>
      </c>
      <c r="H38" s="44" t="str">
        <f t="shared" si="1"/>
        <v>-</v>
      </c>
      <c r="I38" s="44" t="str">
        <f t="shared" si="1"/>
        <v>-</v>
      </c>
      <c r="J38" s="44" t="str">
        <f t="shared" si="1"/>
        <v>-</v>
      </c>
      <c r="K38" s="44" t="str">
        <f t="shared" si="1"/>
        <v>-</v>
      </c>
      <c r="L38" s="44" t="str">
        <f t="shared" si="1"/>
        <v>-</v>
      </c>
      <c r="M38" s="12">
        <f t="shared" si="2"/>
        <v>50000</v>
      </c>
    </row>
    <row r="39" spans="2:13" x14ac:dyDescent="0.45">
      <c r="B39" s="9">
        <v>34</v>
      </c>
      <c r="C39" s="10" t="s">
        <v>34</v>
      </c>
      <c r="D39" s="10" t="s">
        <v>222</v>
      </c>
      <c r="E39" s="39">
        <v>2</v>
      </c>
      <c r="F39" s="43" t="str">
        <f t="shared" ref="F39:L70" si="3">IF(IFERROR(VLOOKUP($E39,$O:$O,1,1),0)&gt;=F$2,"o","-")</f>
        <v>o</v>
      </c>
      <c r="G39" s="44" t="str">
        <f t="shared" si="3"/>
        <v>-</v>
      </c>
      <c r="H39" s="44" t="str">
        <f t="shared" si="3"/>
        <v>-</v>
      </c>
      <c r="I39" s="44" t="str">
        <f t="shared" si="3"/>
        <v>-</v>
      </c>
      <c r="J39" s="44" t="str">
        <f t="shared" si="3"/>
        <v>-</v>
      </c>
      <c r="K39" s="44" t="str">
        <f t="shared" si="3"/>
        <v>-</v>
      </c>
      <c r="L39" s="44" t="str">
        <f t="shared" si="3"/>
        <v>-</v>
      </c>
      <c r="M39" s="12">
        <f t="shared" si="2"/>
        <v>50000</v>
      </c>
    </row>
    <row r="40" spans="2:13" x14ac:dyDescent="0.45">
      <c r="B40" s="9">
        <v>35</v>
      </c>
      <c r="C40" s="10" t="s">
        <v>35</v>
      </c>
      <c r="D40" s="10" t="s">
        <v>223</v>
      </c>
      <c r="E40" s="39">
        <v>2</v>
      </c>
      <c r="F40" s="43" t="str">
        <f t="shared" si="3"/>
        <v>o</v>
      </c>
      <c r="G40" s="44" t="str">
        <f t="shared" si="3"/>
        <v>-</v>
      </c>
      <c r="H40" s="44" t="str">
        <f t="shared" si="3"/>
        <v>-</v>
      </c>
      <c r="I40" s="44" t="str">
        <f t="shared" si="3"/>
        <v>-</v>
      </c>
      <c r="J40" s="44" t="str">
        <f t="shared" si="3"/>
        <v>-</v>
      </c>
      <c r="K40" s="44" t="str">
        <f t="shared" si="3"/>
        <v>-</v>
      </c>
      <c r="L40" s="44" t="str">
        <f t="shared" si="3"/>
        <v>-</v>
      </c>
      <c r="M40" s="12">
        <f t="shared" si="2"/>
        <v>50000</v>
      </c>
    </row>
    <row r="41" spans="2:13" x14ac:dyDescent="0.45">
      <c r="B41" s="9">
        <v>36</v>
      </c>
      <c r="C41" s="10" t="s">
        <v>36</v>
      </c>
      <c r="D41" s="10" t="s">
        <v>224</v>
      </c>
      <c r="E41" s="39">
        <v>2</v>
      </c>
      <c r="F41" s="43" t="str">
        <f t="shared" si="3"/>
        <v>o</v>
      </c>
      <c r="G41" s="44" t="str">
        <f t="shared" si="3"/>
        <v>-</v>
      </c>
      <c r="H41" s="44" t="str">
        <f t="shared" si="3"/>
        <v>-</v>
      </c>
      <c r="I41" s="44" t="str">
        <f t="shared" si="3"/>
        <v>-</v>
      </c>
      <c r="J41" s="44" t="str">
        <f t="shared" si="3"/>
        <v>-</v>
      </c>
      <c r="K41" s="44" t="str">
        <f t="shared" si="3"/>
        <v>-</v>
      </c>
      <c r="L41" s="44" t="str">
        <f t="shared" si="3"/>
        <v>-</v>
      </c>
      <c r="M41" s="12">
        <f t="shared" si="2"/>
        <v>50000</v>
      </c>
    </row>
    <row r="42" spans="2:13" x14ac:dyDescent="0.45">
      <c r="B42" s="9">
        <v>37</v>
      </c>
      <c r="C42" s="10" t="s">
        <v>37</v>
      </c>
      <c r="D42" s="10" t="s">
        <v>225</v>
      </c>
      <c r="E42" s="39">
        <v>2</v>
      </c>
      <c r="F42" s="43" t="str">
        <f t="shared" si="3"/>
        <v>o</v>
      </c>
      <c r="G42" s="44" t="str">
        <f t="shared" si="3"/>
        <v>-</v>
      </c>
      <c r="H42" s="44" t="str">
        <f t="shared" si="3"/>
        <v>-</v>
      </c>
      <c r="I42" s="44" t="str">
        <f t="shared" si="3"/>
        <v>-</v>
      </c>
      <c r="J42" s="44" t="str">
        <f t="shared" si="3"/>
        <v>-</v>
      </c>
      <c r="K42" s="44" t="str">
        <f t="shared" si="3"/>
        <v>-</v>
      </c>
      <c r="L42" s="44" t="str">
        <f t="shared" si="3"/>
        <v>-</v>
      </c>
      <c r="M42" s="12">
        <f t="shared" si="2"/>
        <v>50000</v>
      </c>
    </row>
    <row r="43" spans="2:13" x14ac:dyDescent="0.45">
      <c r="B43" s="9">
        <v>38</v>
      </c>
      <c r="C43" s="10" t="s">
        <v>38</v>
      </c>
      <c r="D43" s="10" t="s">
        <v>226</v>
      </c>
      <c r="E43" s="39">
        <v>2</v>
      </c>
      <c r="F43" s="43" t="str">
        <f t="shared" si="3"/>
        <v>o</v>
      </c>
      <c r="G43" s="44" t="str">
        <f t="shared" si="3"/>
        <v>-</v>
      </c>
      <c r="H43" s="44" t="str">
        <f t="shared" si="3"/>
        <v>-</v>
      </c>
      <c r="I43" s="44" t="str">
        <f t="shared" si="3"/>
        <v>-</v>
      </c>
      <c r="J43" s="44" t="str">
        <f t="shared" si="3"/>
        <v>-</v>
      </c>
      <c r="K43" s="44" t="str">
        <f t="shared" si="3"/>
        <v>-</v>
      </c>
      <c r="L43" s="44" t="str">
        <f t="shared" si="3"/>
        <v>-</v>
      </c>
      <c r="M43" s="12">
        <f t="shared" si="2"/>
        <v>50000</v>
      </c>
    </row>
    <row r="44" spans="2:13" x14ac:dyDescent="0.45">
      <c r="B44" s="9">
        <v>39</v>
      </c>
      <c r="C44" s="10" t="s">
        <v>39</v>
      </c>
      <c r="D44" s="10" t="s">
        <v>227</v>
      </c>
      <c r="E44" s="39">
        <v>2</v>
      </c>
      <c r="F44" s="43" t="str">
        <f t="shared" si="3"/>
        <v>o</v>
      </c>
      <c r="G44" s="44" t="str">
        <f t="shared" si="3"/>
        <v>-</v>
      </c>
      <c r="H44" s="44" t="str">
        <f t="shared" si="3"/>
        <v>-</v>
      </c>
      <c r="I44" s="44" t="str">
        <f t="shared" si="3"/>
        <v>-</v>
      </c>
      <c r="J44" s="44" t="str">
        <f t="shared" si="3"/>
        <v>-</v>
      </c>
      <c r="K44" s="44" t="str">
        <f t="shared" si="3"/>
        <v>-</v>
      </c>
      <c r="L44" s="44" t="str">
        <f t="shared" si="3"/>
        <v>-</v>
      </c>
      <c r="M44" s="12">
        <f t="shared" si="2"/>
        <v>50000</v>
      </c>
    </row>
    <row r="45" spans="2:13" x14ac:dyDescent="0.45">
      <c r="B45" s="9">
        <v>40</v>
      </c>
      <c r="C45" s="10" t="s">
        <v>40</v>
      </c>
      <c r="D45" s="10" t="s">
        <v>228</v>
      </c>
      <c r="E45" s="39">
        <v>2</v>
      </c>
      <c r="F45" s="43" t="str">
        <f t="shared" si="3"/>
        <v>o</v>
      </c>
      <c r="G45" s="44" t="str">
        <f t="shared" si="3"/>
        <v>-</v>
      </c>
      <c r="H45" s="44" t="str">
        <f t="shared" si="3"/>
        <v>-</v>
      </c>
      <c r="I45" s="44" t="str">
        <f t="shared" si="3"/>
        <v>-</v>
      </c>
      <c r="J45" s="44" t="str">
        <f t="shared" si="3"/>
        <v>-</v>
      </c>
      <c r="K45" s="44" t="str">
        <f t="shared" si="3"/>
        <v>-</v>
      </c>
      <c r="L45" s="44" t="str">
        <f t="shared" si="3"/>
        <v>-</v>
      </c>
      <c r="M45" s="12">
        <f t="shared" si="2"/>
        <v>50000</v>
      </c>
    </row>
    <row r="46" spans="2:13" x14ac:dyDescent="0.45">
      <c r="B46" s="9">
        <v>41</v>
      </c>
      <c r="C46" s="10" t="s">
        <v>41</v>
      </c>
      <c r="D46" s="10" t="s">
        <v>229</v>
      </c>
      <c r="E46" s="39">
        <v>2</v>
      </c>
      <c r="F46" s="43" t="str">
        <f t="shared" si="3"/>
        <v>o</v>
      </c>
      <c r="G46" s="44" t="str">
        <f t="shared" si="3"/>
        <v>-</v>
      </c>
      <c r="H46" s="44" t="str">
        <f t="shared" si="3"/>
        <v>-</v>
      </c>
      <c r="I46" s="44" t="str">
        <f t="shared" si="3"/>
        <v>-</v>
      </c>
      <c r="J46" s="44" t="str">
        <f t="shared" si="3"/>
        <v>-</v>
      </c>
      <c r="K46" s="44" t="str">
        <f t="shared" si="3"/>
        <v>-</v>
      </c>
      <c r="L46" s="44" t="str">
        <f t="shared" si="3"/>
        <v>-</v>
      </c>
      <c r="M46" s="12">
        <f t="shared" si="2"/>
        <v>50000</v>
      </c>
    </row>
    <row r="47" spans="2:13" x14ac:dyDescent="0.45">
      <c r="B47" s="9">
        <v>42</v>
      </c>
      <c r="C47" s="10" t="s">
        <v>42</v>
      </c>
      <c r="D47" s="10" t="s">
        <v>230</v>
      </c>
      <c r="E47" s="39">
        <v>2</v>
      </c>
      <c r="F47" s="43" t="str">
        <f t="shared" si="3"/>
        <v>o</v>
      </c>
      <c r="G47" s="44" t="str">
        <f t="shared" si="3"/>
        <v>-</v>
      </c>
      <c r="H47" s="44" t="str">
        <f t="shared" si="3"/>
        <v>-</v>
      </c>
      <c r="I47" s="44" t="str">
        <f t="shared" si="3"/>
        <v>-</v>
      </c>
      <c r="J47" s="44" t="str">
        <f t="shared" si="3"/>
        <v>-</v>
      </c>
      <c r="K47" s="44" t="str">
        <f t="shared" si="3"/>
        <v>-</v>
      </c>
      <c r="L47" s="44" t="str">
        <f t="shared" si="3"/>
        <v>-</v>
      </c>
      <c r="M47" s="12">
        <f t="shared" si="2"/>
        <v>50000</v>
      </c>
    </row>
    <row r="48" spans="2:13" x14ac:dyDescent="0.45">
      <c r="B48" s="9">
        <v>43</v>
      </c>
      <c r="C48" s="10" t="s">
        <v>43</v>
      </c>
      <c r="D48" s="10" t="s">
        <v>231</v>
      </c>
      <c r="E48" s="39">
        <v>2</v>
      </c>
      <c r="F48" s="43" t="str">
        <f t="shared" si="3"/>
        <v>o</v>
      </c>
      <c r="G48" s="44" t="str">
        <f t="shared" si="3"/>
        <v>-</v>
      </c>
      <c r="H48" s="44" t="str">
        <f t="shared" si="3"/>
        <v>-</v>
      </c>
      <c r="I48" s="44" t="str">
        <f t="shared" si="3"/>
        <v>-</v>
      </c>
      <c r="J48" s="44" t="str">
        <f t="shared" si="3"/>
        <v>-</v>
      </c>
      <c r="K48" s="44" t="str">
        <f t="shared" si="3"/>
        <v>-</v>
      </c>
      <c r="L48" s="44" t="str">
        <f t="shared" si="3"/>
        <v>-</v>
      </c>
      <c r="M48" s="12">
        <f t="shared" si="2"/>
        <v>50000</v>
      </c>
    </row>
    <row r="49" spans="2:13" x14ac:dyDescent="0.45">
      <c r="B49" s="9">
        <v>44</v>
      </c>
      <c r="C49" s="10" t="s">
        <v>44</v>
      </c>
      <c r="D49" s="10" t="s">
        <v>232</v>
      </c>
      <c r="E49" s="39">
        <v>2</v>
      </c>
      <c r="F49" s="43" t="str">
        <f t="shared" si="3"/>
        <v>o</v>
      </c>
      <c r="G49" s="44" t="str">
        <f t="shared" si="3"/>
        <v>-</v>
      </c>
      <c r="H49" s="44" t="str">
        <f t="shared" si="3"/>
        <v>-</v>
      </c>
      <c r="I49" s="44" t="str">
        <f t="shared" si="3"/>
        <v>-</v>
      </c>
      <c r="J49" s="44" t="str">
        <f t="shared" si="3"/>
        <v>-</v>
      </c>
      <c r="K49" s="44" t="str">
        <f t="shared" si="3"/>
        <v>-</v>
      </c>
      <c r="L49" s="44" t="str">
        <f t="shared" si="3"/>
        <v>-</v>
      </c>
      <c r="M49" s="12">
        <f t="shared" si="2"/>
        <v>50000</v>
      </c>
    </row>
    <row r="50" spans="2:13" x14ac:dyDescent="0.45">
      <c r="B50" s="9">
        <v>45</v>
      </c>
      <c r="C50" s="10" t="s">
        <v>45</v>
      </c>
      <c r="D50" s="10" t="s">
        <v>233</v>
      </c>
      <c r="E50" s="39">
        <v>2</v>
      </c>
      <c r="F50" s="43" t="str">
        <f t="shared" si="3"/>
        <v>o</v>
      </c>
      <c r="G50" s="44" t="str">
        <f t="shared" si="3"/>
        <v>-</v>
      </c>
      <c r="H50" s="44" t="str">
        <f t="shared" si="3"/>
        <v>-</v>
      </c>
      <c r="I50" s="44" t="str">
        <f t="shared" si="3"/>
        <v>-</v>
      </c>
      <c r="J50" s="44" t="str">
        <f t="shared" si="3"/>
        <v>-</v>
      </c>
      <c r="K50" s="44" t="str">
        <f t="shared" si="3"/>
        <v>-</v>
      </c>
      <c r="L50" s="44" t="str">
        <f t="shared" si="3"/>
        <v>-</v>
      </c>
      <c r="M50" s="12">
        <f t="shared" si="2"/>
        <v>50000</v>
      </c>
    </row>
    <row r="51" spans="2:13" x14ac:dyDescent="0.45">
      <c r="B51" s="9">
        <v>46</v>
      </c>
      <c r="C51" s="10" t="s">
        <v>46</v>
      </c>
      <c r="D51" s="10" t="s">
        <v>234</v>
      </c>
      <c r="E51" s="39">
        <v>2</v>
      </c>
      <c r="F51" s="43" t="str">
        <f t="shared" si="3"/>
        <v>o</v>
      </c>
      <c r="G51" s="44" t="str">
        <f t="shared" si="3"/>
        <v>-</v>
      </c>
      <c r="H51" s="44" t="str">
        <f t="shared" si="3"/>
        <v>-</v>
      </c>
      <c r="I51" s="44" t="str">
        <f t="shared" si="3"/>
        <v>-</v>
      </c>
      <c r="J51" s="44" t="str">
        <f t="shared" si="3"/>
        <v>-</v>
      </c>
      <c r="K51" s="44" t="str">
        <f t="shared" si="3"/>
        <v>-</v>
      </c>
      <c r="L51" s="44" t="str">
        <f t="shared" si="3"/>
        <v>-</v>
      </c>
      <c r="M51" s="12">
        <f t="shared" si="2"/>
        <v>50000</v>
      </c>
    </row>
    <row r="52" spans="2:13" x14ac:dyDescent="0.45">
      <c r="B52" s="9">
        <v>47</v>
      </c>
      <c r="C52" s="10" t="s">
        <v>47</v>
      </c>
      <c r="D52" s="10" t="s">
        <v>235</v>
      </c>
      <c r="E52" s="39">
        <v>2</v>
      </c>
      <c r="F52" s="43" t="str">
        <f t="shared" si="3"/>
        <v>o</v>
      </c>
      <c r="G52" s="44" t="str">
        <f t="shared" si="3"/>
        <v>-</v>
      </c>
      <c r="H52" s="44" t="str">
        <f t="shared" si="3"/>
        <v>-</v>
      </c>
      <c r="I52" s="44" t="str">
        <f t="shared" si="3"/>
        <v>-</v>
      </c>
      <c r="J52" s="44" t="str">
        <f t="shared" si="3"/>
        <v>-</v>
      </c>
      <c r="K52" s="44" t="str">
        <f t="shared" si="3"/>
        <v>-</v>
      </c>
      <c r="L52" s="44" t="str">
        <f t="shared" si="3"/>
        <v>-</v>
      </c>
      <c r="M52" s="12">
        <f t="shared" si="2"/>
        <v>50000</v>
      </c>
    </row>
    <row r="53" spans="2:13" x14ac:dyDescent="0.45">
      <c r="B53" s="9">
        <v>48</v>
      </c>
      <c r="C53" s="10" t="s">
        <v>48</v>
      </c>
      <c r="D53" s="10" t="s">
        <v>236</v>
      </c>
      <c r="E53" s="39">
        <v>2</v>
      </c>
      <c r="F53" s="43" t="str">
        <f t="shared" si="3"/>
        <v>o</v>
      </c>
      <c r="G53" s="44" t="str">
        <f t="shared" si="3"/>
        <v>-</v>
      </c>
      <c r="H53" s="44" t="str">
        <f t="shared" si="3"/>
        <v>-</v>
      </c>
      <c r="I53" s="44" t="str">
        <f t="shared" si="3"/>
        <v>-</v>
      </c>
      <c r="J53" s="44" t="str">
        <f t="shared" si="3"/>
        <v>-</v>
      </c>
      <c r="K53" s="44" t="str">
        <f t="shared" si="3"/>
        <v>-</v>
      </c>
      <c r="L53" s="44" t="str">
        <f t="shared" si="3"/>
        <v>-</v>
      </c>
      <c r="M53" s="12">
        <f t="shared" si="2"/>
        <v>50000</v>
      </c>
    </row>
    <row r="54" spans="2:13" x14ac:dyDescent="0.45">
      <c r="B54" s="9">
        <v>49</v>
      </c>
      <c r="C54" s="10" t="s">
        <v>49</v>
      </c>
      <c r="D54" s="10" t="s">
        <v>237</v>
      </c>
      <c r="E54" s="39">
        <v>2</v>
      </c>
      <c r="F54" s="43" t="str">
        <f t="shared" si="3"/>
        <v>o</v>
      </c>
      <c r="G54" s="44" t="str">
        <f t="shared" si="3"/>
        <v>-</v>
      </c>
      <c r="H54" s="44" t="str">
        <f t="shared" si="3"/>
        <v>-</v>
      </c>
      <c r="I54" s="44" t="str">
        <f t="shared" si="3"/>
        <v>-</v>
      </c>
      <c r="J54" s="44" t="str">
        <f t="shared" si="3"/>
        <v>-</v>
      </c>
      <c r="K54" s="44" t="str">
        <f t="shared" si="3"/>
        <v>-</v>
      </c>
      <c r="L54" s="44" t="str">
        <f t="shared" si="3"/>
        <v>-</v>
      </c>
      <c r="M54" s="12">
        <f t="shared" si="2"/>
        <v>50000</v>
      </c>
    </row>
    <row r="55" spans="2:13" x14ac:dyDescent="0.45">
      <c r="B55" s="9">
        <v>50</v>
      </c>
      <c r="C55" s="10" t="s">
        <v>50</v>
      </c>
      <c r="D55" s="10" t="s">
        <v>238</v>
      </c>
      <c r="E55" s="39">
        <v>2</v>
      </c>
      <c r="F55" s="43" t="str">
        <f t="shared" si="3"/>
        <v>o</v>
      </c>
      <c r="G55" s="44" t="str">
        <f t="shared" si="3"/>
        <v>-</v>
      </c>
      <c r="H55" s="44" t="str">
        <f t="shared" si="3"/>
        <v>-</v>
      </c>
      <c r="I55" s="44" t="str">
        <f t="shared" si="3"/>
        <v>-</v>
      </c>
      <c r="J55" s="44" t="str">
        <f t="shared" si="3"/>
        <v>-</v>
      </c>
      <c r="K55" s="44" t="str">
        <f t="shared" si="3"/>
        <v>-</v>
      </c>
      <c r="L55" s="44" t="str">
        <f t="shared" si="3"/>
        <v>-</v>
      </c>
      <c r="M55" s="12">
        <f t="shared" si="2"/>
        <v>50000</v>
      </c>
    </row>
    <row r="56" spans="2:13" x14ac:dyDescent="0.45">
      <c r="B56" s="9">
        <v>51</v>
      </c>
      <c r="C56" s="10" t="s">
        <v>51</v>
      </c>
      <c r="D56" s="10" t="s">
        <v>239</v>
      </c>
      <c r="E56" s="39">
        <v>2</v>
      </c>
      <c r="F56" s="43" t="str">
        <f t="shared" si="3"/>
        <v>o</v>
      </c>
      <c r="G56" s="44" t="str">
        <f t="shared" si="3"/>
        <v>-</v>
      </c>
      <c r="H56" s="44" t="str">
        <f t="shared" si="3"/>
        <v>-</v>
      </c>
      <c r="I56" s="44" t="str">
        <f t="shared" si="3"/>
        <v>-</v>
      </c>
      <c r="J56" s="44" t="str">
        <f t="shared" si="3"/>
        <v>-</v>
      </c>
      <c r="K56" s="44" t="str">
        <f t="shared" si="3"/>
        <v>-</v>
      </c>
      <c r="L56" s="44" t="str">
        <f t="shared" si="3"/>
        <v>-</v>
      </c>
      <c r="M56" s="12">
        <f t="shared" si="2"/>
        <v>50000</v>
      </c>
    </row>
    <row r="57" spans="2:13" x14ac:dyDescent="0.45">
      <c r="B57" s="9">
        <v>52</v>
      </c>
      <c r="C57" s="10" t="s">
        <v>52</v>
      </c>
      <c r="D57" s="10" t="s">
        <v>240</v>
      </c>
      <c r="E57" s="39">
        <v>2</v>
      </c>
      <c r="F57" s="43" t="str">
        <f t="shared" si="3"/>
        <v>o</v>
      </c>
      <c r="G57" s="44" t="str">
        <f t="shared" si="3"/>
        <v>-</v>
      </c>
      <c r="H57" s="44" t="str">
        <f t="shared" si="3"/>
        <v>-</v>
      </c>
      <c r="I57" s="44" t="str">
        <f t="shared" si="3"/>
        <v>-</v>
      </c>
      <c r="J57" s="44" t="str">
        <f t="shared" si="3"/>
        <v>-</v>
      </c>
      <c r="K57" s="44" t="str">
        <f t="shared" si="3"/>
        <v>-</v>
      </c>
      <c r="L57" s="44" t="str">
        <f t="shared" si="3"/>
        <v>-</v>
      </c>
      <c r="M57" s="12">
        <f t="shared" si="2"/>
        <v>50000</v>
      </c>
    </row>
    <row r="58" spans="2:13" x14ac:dyDescent="0.45">
      <c r="B58" s="9">
        <v>53</v>
      </c>
      <c r="C58" s="10" t="s">
        <v>53</v>
      </c>
      <c r="D58" s="10" t="s">
        <v>241</v>
      </c>
      <c r="E58" s="39">
        <v>2</v>
      </c>
      <c r="F58" s="43" t="str">
        <f t="shared" si="3"/>
        <v>o</v>
      </c>
      <c r="G58" s="44" t="str">
        <f t="shared" si="3"/>
        <v>-</v>
      </c>
      <c r="H58" s="44" t="str">
        <f t="shared" si="3"/>
        <v>-</v>
      </c>
      <c r="I58" s="44" t="str">
        <f t="shared" si="3"/>
        <v>-</v>
      </c>
      <c r="J58" s="44" t="str">
        <f t="shared" si="3"/>
        <v>-</v>
      </c>
      <c r="K58" s="44" t="str">
        <f t="shared" si="3"/>
        <v>-</v>
      </c>
      <c r="L58" s="44" t="str">
        <f t="shared" si="3"/>
        <v>-</v>
      </c>
      <c r="M58" s="12">
        <f t="shared" si="2"/>
        <v>50000</v>
      </c>
    </row>
    <row r="59" spans="2:13" x14ac:dyDescent="0.45">
      <c r="B59" s="9">
        <v>54</v>
      </c>
      <c r="C59" s="10" t="s">
        <v>54</v>
      </c>
      <c r="D59" s="10" t="s">
        <v>242</v>
      </c>
      <c r="E59" s="39">
        <v>2</v>
      </c>
      <c r="F59" s="43" t="str">
        <f t="shared" si="3"/>
        <v>o</v>
      </c>
      <c r="G59" s="44" t="str">
        <f t="shared" si="3"/>
        <v>-</v>
      </c>
      <c r="H59" s="44" t="str">
        <f t="shared" si="3"/>
        <v>-</v>
      </c>
      <c r="I59" s="44" t="str">
        <f t="shared" si="3"/>
        <v>-</v>
      </c>
      <c r="J59" s="44" t="str">
        <f t="shared" si="3"/>
        <v>-</v>
      </c>
      <c r="K59" s="44" t="str">
        <f t="shared" si="3"/>
        <v>-</v>
      </c>
      <c r="L59" s="44" t="str">
        <f t="shared" si="3"/>
        <v>-</v>
      </c>
      <c r="M59" s="12">
        <f t="shared" si="2"/>
        <v>50000</v>
      </c>
    </row>
    <row r="60" spans="2:13" x14ac:dyDescent="0.45">
      <c r="B60" s="9">
        <v>55</v>
      </c>
      <c r="C60" s="10" t="s">
        <v>55</v>
      </c>
      <c r="D60" s="10" t="s">
        <v>243</v>
      </c>
      <c r="E60" s="39">
        <v>2</v>
      </c>
      <c r="F60" s="43" t="str">
        <f t="shared" si="3"/>
        <v>o</v>
      </c>
      <c r="G60" s="44" t="str">
        <f t="shared" si="3"/>
        <v>-</v>
      </c>
      <c r="H60" s="44" t="str">
        <f t="shared" si="3"/>
        <v>-</v>
      </c>
      <c r="I60" s="44" t="str">
        <f t="shared" si="3"/>
        <v>-</v>
      </c>
      <c r="J60" s="44" t="str">
        <f t="shared" si="3"/>
        <v>-</v>
      </c>
      <c r="K60" s="44" t="str">
        <f t="shared" si="3"/>
        <v>-</v>
      </c>
      <c r="L60" s="44" t="str">
        <f t="shared" si="3"/>
        <v>-</v>
      </c>
      <c r="M60" s="12">
        <f t="shared" si="2"/>
        <v>50000</v>
      </c>
    </row>
    <row r="61" spans="2:13" x14ac:dyDescent="0.45">
      <c r="B61" s="9">
        <v>56</v>
      </c>
      <c r="C61" s="10" t="s">
        <v>56</v>
      </c>
      <c r="D61" s="10" t="s">
        <v>244</v>
      </c>
      <c r="E61" s="39">
        <v>2</v>
      </c>
      <c r="F61" s="43" t="str">
        <f t="shared" si="3"/>
        <v>o</v>
      </c>
      <c r="G61" s="44" t="str">
        <f t="shared" si="3"/>
        <v>-</v>
      </c>
      <c r="H61" s="44" t="str">
        <f t="shared" si="3"/>
        <v>-</v>
      </c>
      <c r="I61" s="44" t="str">
        <f t="shared" si="3"/>
        <v>-</v>
      </c>
      <c r="J61" s="44" t="str">
        <f t="shared" si="3"/>
        <v>-</v>
      </c>
      <c r="K61" s="44" t="str">
        <f t="shared" si="3"/>
        <v>-</v>
      </c>
      <c r="L61" s="44" t="str">
        <f t="shared" si="3"/>
        <v>-</v>
      </c>
      <c r="M61" s="12">
        <f t="shared" si="2"/>
        <v>50000</v>
      </c>
    </row>
    <row r="62" spans="2:13" x14ac:dyDescent="0.45">
      <c r="B62" s="9">
        <v>57</v>
      </c>
      <c r="C62" s="10" t="s">
        <v>57</v>
      </c>
      <c r="D62" s="10" t="s">
        <v>245</v>
      </c>
      <c r="E62" s="39">
        <v>2</v>
      </c>
      <c r="F62" s="43" t="str">
        <f t="shared" si="3"/>
        <v>o</v>
      </c>
      <c r="G62" s="44" t="str">
        <f t="shared" si="3"/>
        <v>-</v>
      </c>
      <c r="H62" s="44" t="str">
        <f t="shared" si="3"/>
        <v>-</v>
      </c>
      <c r="I62" s="44" t="str">
        <f t="shared" si="3"/>
        <v>-</v>
      </c>
      <c r="J62" s="44" t="str">
        <f t="shared" si="3"/>
        <v>-</v>
      </c>
      <c r="K62" s="44" t="str">
        <f t="shared" si="3"/>
        <v>-</v>
      </c>
      <c r="L62" s="44" t="str">
        <f t="shared" si="3"/>
        <v>-</v>
      </c>
      <c r="M62" s="12">
        <f t="shared" si="2"/>
        <v>50000</v>
      </c>
    </row>
    <row r="63" spans="2:13" x14ac:dyDescent="0.45">
      <c r="B63" s="9">
        <v>58</v>
      </c>
      <c r="C63" s="10" t="s">
        <v>58</v>
      </c>
      <c r="D63" s="10" t="s">
        <v>246</v>
      </c>
      <c r="E63" s="39">
        <v>2</v>
      </c>
      <c r="F63" s="43" t="str">
        <f t="shared" si="3"/>
        <v>o</v>
      </c>
      <c r="G63" s="44" t="str">
        <f t="shared" si="3"/>
        <v>-</v>
      </c>
      <c r="H63" s="44" t="str">
        <f t="shared" si="3"/>
        <v>-</v>
      </c>
      <c r="I63" s="44" t="str">
        <f t="shared" si="3"/>
        <v>-</v>
      </c>
      <c r="J63" s="44" t="str">
        <f t="shared" si="3"/>
        <v>-</v>
      </c>
      <c r="K63" s="44" t="str">
        <f t="shared" si="3"/>
        <v>-</v>
      </c>
      <c r="L63" s="44" t="str">
        <f t="shared" si="3"/>
        <v>-</v>
      </c>
      <c r="M63" s="12">
        <f t="shared" si="2"/>
        <v>50000</v>
      </c>
    </row>
    <row r="64" spans="2:13" x14ac:dyDescent="0.45">
      <c r="B64" s="9">
        <v>59</v>
      </c>
      <c r="C64" s="10" t="s">
        <v>59</v>
      </c>
      <c r="D64" s="10" t="s">
        <v>247</v>
      </c>
      <c r="E64" s="39">
        <v>2</v>
      </c>
      <c r="F64" s="43" t="str">
        <f t="shared" si="3"/>
        <v>o</v>
      </c>
      <c r="G64" s="44" t="str">
        <f t="shared" si="3"/>
        <v>-</v>
      </c>
      <c r="H64" s="44" t="str">
        <f t="shared" si="3"/>
        <v>-</v>
      </c>
      <c r="I64" s="44" t="str">
        <f t="shared" si="3"/>
        <v>-</v>
      </c>
      <c r="J64" s="44" t="str">
        <f t="shared" si="3"/>
        <v>-</v>
      </c>
      <c r="K64" s="44" t="str">
        <f t="shared" si="3"/>
        <v>-</v>
      </c>
      <c r="L64" s="44" t="str">
        <f t="shared" si="3"/>
        <v>-</v>
      </c>
      <c r="M64" s="12">
        <f t="shared" si="2"/>
        <v>50000</v>
      </c>
    </row>
    <row r="65" spans="2:13" x14ac:dyDescent="0.45">
      <c r="B65" s="9">
        <v>60</v>
      </c>
      <c r="C65" s="10" t="s">
        <v>60</v>
      </c>
      <c r="D65" s="10" t="s">
        <v>248</v>
      </c>
      <c r="E65" s="39">
        <v>2</v>
      </c>
      <c r="F65" s="43" t="str">
        <f t="shared" si="3"/>
        <v>o</v>
      </c>
      <c r="G65" s="44" t="str">
        <f t="shared" si="3"/>
        <v>-</v>
      </c>
      <c r="H65" s="44" t="str">
        <f t="shared" si="3"/>
        <v>-</v>
      </c>
      <c r="I65" s="44" t="str">
        <f t="shared" si="3"/>
        <v>-</v>
      </c>
      <c r="J65" s="44" t="str">
        <f t="shared" si="3"/>
        <v>-</v>
      </c>
      <c r="K65" s="44" t="str">
        <f t="shared" si="3"/>
        <v>-</v>
      </c>
      <c r="L65" s="44" t="str">
        <f t="shared" si="3"/>
        <v>-</v>
      </c>
      <c r="M65" s="12">
        <f t="shared" si="2"/>
        <v>50000</v>
      </c>
    </row>
    <row r="66" spans="2:13" x14ac:dyDescent="0.45">
      <c r="B66" s="9">
        <v>61</v>
      </c>
      <c r="C66" s="10" t="s">
        <v>61</v>
      </c>
      <c r="D66" s="10" t="s">
        <v>249</v>
      </c>
      <c r="E66" s="39">
        <v>2</v>
      </c>
      <c r="F66" s="43" t="str">
        <f t="shared" si="3"/>
        <v>o</v>
      </c>
      <c r="G66" s="44" t="str">
        <f t="shared" si="3"/>
        <v>-</v>
      </c>
      <c r="H66" s="44" t="str">
        <f t="shared" si="3"/>
        <v>-</v>
      </c>
      <c r="I66" s="44" t="str">
        <f t="shared" si="3"/>
        <v>-</v>
      </c>
      <c r="J66" s="44" t="str">
        <f t="shared" si="3"/>
        <v>-</v>
      </c>
      <c r="K66" s="44" t="str">
        <f t="shared" si="3"/>
        <v>-</v>
      </c>
      <c r="L66" s="44" t="str">
        <f t="shared" si="3"/>
        <v>-</v>
      </c>
      <c r="M66" s="12">
        <f t="shared" si="2"/>
        <v>50000</v>
      </c>
    </row>
    <row r="67" spans="2:13" x14ac:dyDescent="0.45">
      <c r="B67" s="9">
        <v>62</v>
      </c>
      <c r="C67" s="10" t="s">
        <v>62</v>
      </c>
      <c r="D67" s="10" t="s">
        <v>250</v>
      </c>
      <c r="E67" s="39">
        <v>2</v>
      </c>
      <c r="F67" s="43" t="str">
        <f t="shared" si="3"/>
        <v>o</v>
      </c>
      <c r="G67" s="44" t="str">
        <f t="shared" si="3"/>
        <v>-</v>
      </c>
      <c r="H67" s="44" t="str">
        <f t="shared" si="3"/>
        <v>-</v>
      </c>
      <c r="I67" s="44" t="str">
        <f t="shared" si="3"/>
        <v>-</v>
      </c>
      <c r="J67" s="44" t="str">
        <f t="shared" si="3"/>
        <v>-</v>
      </c>
      <c r="K67" s="44" t="str">
        <f t="shared" si="3"/>
        <v>-</v>
      </c>
      <c r="L67" s="44" t="str">
        <f t="shared" si="3"/>
        <v>-</v>
      </c>
      <c r="M67" s="12">
        <f t="shared" si="2"/>
        <v>50000</v>
      </c>
    </row>
    <row r="68" spans="2:13" x14ac:dyDescent="0.45">
      <c r="B68" s="9">
        <v>63</v>
      </c>
      <c r="C68" s="10" t="s">
        <v>63</v>
      </c>
      <c r="D68" s="10" t="s">
        <v>251</v>
      </c>
      <c r="E68" s="39">
        <v>2</v>
      </c>
      <c r="F68" s="43" t="str">
        <f t="shared" si="3"/>
        <v>o</v>
      </c>
      <c r="G68" s="44" t="str">
        <f t="shared" si="3"/>
        <v>-</v>
      </c>
      <c r="H68" s="44" t="str">
        <f t="shared" si="3"/>
        <v>-</v>
      </c>
      <c r="I68" s="44" t="str">
        <f t="shared" si="3"/>
        <v>-</v>
      </c>
      <c r="J68" s="44" t="str">
        <f t="shared" si="3"/>
        <v>-</v>
      </c>
      <c r="K68" s="44" t="str">
        <f t="shared" si="3"/>
        <v>-</v>
      </c>
      <c r="L68" s="44" t="str">
        <f t="shared" si="3"/>
        <v>-</v>
      </c>
      <c r="M68" s="12">
        <f t="shared" si="2"/>
        <v>50000</v>
      </c>
    </row>
    <row r="69" spans="2:13" x14ac:dyDescent="0.45">
      <c r="B69" s="9">
        <v>64</v>
      </c>
      <c r="C69" s="10" t="s">
        <v>64</v>
      </c>
      <c r="D69" s="10" t="s">
        <v>252</v>
      </c>
      <c r="E69" s="39">
        <v>2</v>
      </c>
      <c r="F69" s="43" t="str">
        <f t="shared" si="3"/>
        <v>o</v>
      </c>
      <c r="G69" s="44" t="str">
        <f t="shared" si="3"/>
        <v>-</v>
      </c>
      <c r="H69" s="44" t="str">
        <f t="shared" si="3"/>
        <v>-</v>
      </c>
      <c r="I69" s="44" t="str">
        <f t="shared" si="3"/>
        <v>-</v>
      </c>
      <c r="J69" s="44" t="str">
        <f t="shared" si="3"/>
        <v>-</v>
      </c>
      <c r="K69" s="44" t="str">
        <f t="shared" si="3"/>
        <v>-</v>
      </c>
      <c r="L69" s="44" t="str">
        <f t="shared" si="3"/>
        <v>-</v>
      </c>
      <c r="M69" s="12">
        <f t="shared" si="2"/>
        <v>50000</v>
      </c>
    </row>
    <row r="70" spans="2:13" x14ac:dyDescent="0.45">
      <c r="B70" s="9">
        <v>65</v>
      </c>
      <c r="C70" s="10" t="s">
        <v>65</v>
      </c>
      <c r="D70" s="10" t="s">
        <v>253</v>
      </c>
      <c r="E70" s="39">
        <v>2</v>
      </c>
      <c r="F70" s="43" t="str">
        <f t="shared" si="3"/>
        <v>o</v>
      </c>
      <c r="G70" s="44" t="str">
        <f t="shared" si="3"/>
        <v>-</v>
      </c>
      <c r="H70" s="44" t="str">
        <f t="shared" si="3"/>
        <v>-</v>
      </c>
      <c r="I70" s="44" t="str">
        <f t="shared" si="3"/>
        <v>-</v>
      </c>
      <c r="J70" s="44" t="str">
        <f t="shared" si="3"/>
        <v>-</v>
      </c>
      <c r="K70" s="44" t="str">
        <f t="shared" si="3"/>
        <v>-</v>
      </c>
      <c r="L70" s="44" t="str">
        <f t="shared" si="3"/>
        <v>-</v>
      </c>
      <c r="M70" s="12">
        <f t="shared" si="2"/>
        <v>50000</v>
      </c>
    </row>
    <row r="71" spans="2:13" x14ac:dyDescent="0.45">
      <c r="B71" s="9">
        <v>66</v>
      </c>
      <c r="C71" s="10" t="s">
        <v>66</v>
      </c>
      <c r="D71" s="10" t="s">
        <v>254</v>
      </c>
      <c r="E71" s="39">
        <v>2</v>
      </c>
      <c r="F71" s="43" t="str">
        <f t="shared" ref="F71:L102" si="4">IF(IFERROR(VLOOKUP($E71,$O:$O,1,1),0)&gt;=F$2,"o","-")</f>
        <v>o</v>
      </c>
      <c r="G71" s="44" t="str">
        <f t="shared" si="4"/>
        <v>-</v>
      </c>
      <c r="H71" s="44" t="str">
        <f t="shared" si="4"/>
        <v>-</v>
      </c>
      <c r="I71" s="44" t="str">
        <f t="shared" si="4"/>
        <v>-</v>
      </c>
      <c r="J71" s="44" t="str">
        <f t="shared" si="4"/>
        <v>-</v>
      </c>
      <c r="K71" s="44" t="str">
        <f t="shared" si="4"/>
        <v>-</v>
      </c>
      <c r="L71" s="44" t="str">
        <f t="shared" si="4"/>
        <v>-</v>
      </c>
      <c r="M71" s="12">
        <f t="shared" ref="M71:M134" si="5">IFERROR(VLOOKUP(E71,$O:$Q,3,1),0)</f>
        <v>50000</v>
      </c>
    </row>
    <row r="72" spans="2:13" x14ac:dyDescent="0.45">
      <c r="B72" s="9">
        <v>67</v>
      </c>
      <c r="C72" s="10" t="s">
        <v>67</v>
      </c>
      <c r="D72" s="10" t="s">
        <v>255</v>
      </c>
      <c r="E72" s="39">
        <v>2</v>
      </c>
      <c r="F72" s="43" t="str">
        <f t="shared" si="4"/>
        <v>o</v>
      </c>
      <c r="G72" s="44" t="str">
        <f t="shared" si="4"/>
        <v>-</v>
      </c>
      <c r="H72" s="44" t="str">
        <f t="shared" si="4"/>
        <v>-</v>
      </c>
      <c r="I72" s="44" t="str">
        <f t="shared" si="4"/>
        <v>-</v>
      </c>
      <c r="J72" s="44" t="str">
        <f t="shared" si="4"/>
        <v>-</v>
      </c>
      <c r="K72" s="44" t="str">
        <f t="shared" si="4"/>
        <v>-</v>
      </c>
      <c r="L72" s="44" t="str">
        <f t="shared" si="4"/>
        <v>-</v>
      </c>
      <c r="M72" s="12">
        <f t="shared" si="5"/>
        <v>50000</v>
      </c>
    </row>
    <row r="73" spans="2:13" x14ac:dyDescent="0.45">
      <c r="B73" s="9">
        <v>68</v>
      </c>
      <c r="C73" s="10" t="s">
        <v>68</v>
      </c>
      <c r="D73" s="10" t="s">
        <v>256</v>
      </c>
      <c r="E73" s="39">
        <v>2</v>
      </c>
      <c r="F73" s="43" t="str">
        <f t="shared" si="4"/>
        <v>o</v>
      </c>
      <c r="G73" s="44" t="str">
        <f t="shared" si="4"/>
        <v>-</v>
      </c>
      <c r="H73" s="44" t="str">
        <f t="shared" si="4"/>
        <v>-</v>
      </c>
      <c r="I73" s="44" t="str">
        <f t="shared" si="4"/>
        <v>-</v>
      </c>
      <c r="J73" s="44" t="str">
        <f t="shared" si="4"/>
        <v>-</v>
      </c>
      <c r="K73" s="44" t="str">
        <f t="shared" si="4"/>
        <v>-</v>
      </c>
      <c r="L73" s="44" t="str">
        <f t="shared" si="4"/>
        <v>-</v>
      </c>
      <c r="M73" s="12">
        <f t="shared" si="5"/>
        <v>50000</v>
      </c>
    </row>
    <row r="74" spans="2:13" x14ac:dyDescent="0.45">
      <c r="B74" s="9">
        <v>69</v>
      </c>
      <c r="C74" s="10" t="s">
        <v>69</v>
      </c>
      <c r="D74" s="10" t="s">
        <v>257</v>
      </c>
      <c r="E74" s="39">
        <v>2</v>
      </c>
      <c r="F74" s="43" t="str">
        <f t="shared" si="4"/>
        <v>o</v>
      </c>
      <c r="G74" s="44" t="str">
        <f t="shared" si="4"/>
        <v>-</v>
      </c>
      <c r="H74" s="44" t="str">
        <f t="shared" si="4"/>
        <v>-</v>
      </c>
      <c r="I74" s="44" t="str">
        <f t="shared" si="4"/>
        <v>-</v>
      </c>
      <c r="J74" s="44" t="str">
        <f t="shared" si="4"/>
        <v>-</v>
      </c>
      <c r="K74" s="44" t="str">
        <f t="shared" si="4"/>
        <v>-</v>
      </c>
      <c r="L74" s="44" t="str">
        <f t="shared" si="4"/>
        <v>-</v>
      </c>
      <c r="M74" s="12">
        <f t="shared" si="5"/>
        <v>50000</v>
      </c>
    </row>
    <row r="75" spans="2:13" x14ac:dyDescent="0.45">
      <c r="B75" s="9">
        <v>70</v>
      </c>
      <c r="C75" s="10" t="s">
        <v>70</v>
      </c>
      <c r="D75" s="10" t="s">
        <v>258</v>
      </c>
      <c r="E75" s="39">
        <v>2</v>
      </c>
      <c r="F75" s="43" t="str">
        <f t="shared" si="4"/>
        <v>o</v>
      </c>
      <c r="G75" s="44" t="str">
        <f t="shared" si="4"/>
        <v>-</v>
      </c>
      <c r="H75" s="44" t="str">
        <f t="shared" si="4"/>
        <v>-</v>
      </c>
      <c r="I75" s="44" t="str">
        <f t="shared" si="4"/>
        <v>-</v>
      </c>
      <c r="J75" s="44" t="str">
        <f t="shared" si="4"/>
        <v>-</v>
      </c>
      <c r="K75" s="44" t="str">
        <f t="shared" si="4"/>
        <v>-</v>
      </c>
      <c r="L75" s="44" t="str">
        <f t="shared" si="4"/>
        <v>-</v>
      </c>
      <c r="M75" s="12">
        <f t="shared" si="5"/>
        <v>50000</v>
      </c>
    </row>
    <row r="76" spans="2:13" x14ac:dyDescent="0.45">
      <c r="B76" s="9">
        <v>71</v>
      </c>
      <c r="C76" s="10" t="s">
        <v>71</v>
      </c>
      <c r="D76" s="10" t="s">
        <v>259</v>
      </c>
      <c r="E76" s="39">
        <v>2</v>
      </c>
      <c r="F76" s="43" t="str">
        <f t="shared" si="4"/>
        <v>o</v>
      </c>
      <c r="G76" s="44" t="str">
        <f t="shared" si="4"/>
        <v>-</v>
      </c>
      <c r="H76" s="44" t="str">
        <f t="shared" si="4"/>
        <v>-</v>
      </c>
      <c r="I76" s="44" t="str">
        <f t="shared" si="4"/>
        <v>-</v>
      </c>
      <c r="J76" s="44" t="str">
        <f t="shared" si="4"/>
        <v>-</v>
      </c>
      <c r="K76" s="44" t="str">
        <f t="shared" si="4"/>
        <v>-</v>
      </c>
      <c r="L76" s="44" t="str">
        <f t="shared" si="4"/>
        <v>-</v>
      </c>
      <c r="M76" s="12">
        <f t="shared" si="5"/>
        <v>50000</v>
      </c>
    </row>
    <row r="77" spans="2:13" x14ac:dyDescent="0.45">
      <c r="B77" s="9">
        <v>72</v>
      </c>
      <c r="C77" s="10" t="s">
        <v>72</v>
      </c>
      <c r="D77" s="10" t="s">
        <v>260</v>
      </c>
      <c r="E77" s="39">
        <v>2</v>
      </c>
      <c r="F77" s="43" t="str">
        <f t="shared" si="4"/>
        <v>o</v>
      </c>
      <c r="G77" s="44" t="str">
        <f t="shared" si="4"/>
        <v>-</v>
      </c>
      <c r="H77" s="44" t="str">
        <f t="shared" si="4"/>
        <v>-</v>
      </c>
      <c r="I77" s="44" t="str">
        <f t="shared" si="4"/>
        <v>-</v>
      </c>
      <c r="J77" s="44" t="str">
        <f t="shared" si="4"/>
        <v>-</v>
      </c>
      <c r="K77" s="44" t="str">
        <f t="shared" si="4"/>
        <v>-</v>
      </c>
      <c r="L77" s="44" t="str">
        <f t="shared" si="4"/>
        <v>-</v>
      </c>
      <c r="M77" s="12">
        <f t="shared" si="5"/>
        <v>50000</v>
      </c>
    </row>
    <row r="78" spans="2:13" x14ac:dyDescent="0.45">
      <c r="B78" s="9">
        <v>73</v>
      </c>
      <c r="C78" s="10" t="s">
        <v>73</v>
      </c>
      <c r="D78" s="10" t="s">
        <v>261</v>
      </c>
      <c r="E78" s="39">
        <v>2</v>
      </c>
      <c r="F78" s="43" t="str">
        <f t="shared" si="4"/>
        <v>o</v>
      </c>
      <c r="G78" s="44" t="str">
        <f t="shared" si="4"/>
        <v>-</v>
      </c>
      <c r="H78" s="44" t="str">
        <f t="shared" si="4"/>
        <v>-</v>
      </c>
      <c r="I78" s="44" t="str">
        <f t="shared" si="4"/>
        <v>-</v>
      </c>
      <c r="J78" s="44" t="str">
        <f t="shared" si="4"/>
        <v>-</v>
      </c>
      <c r="K78" s="44" t="str">
        <f t="shared" si="4"/>
        <v>-</v>
      </c>
      <c r="L78" s="44" t="str">
        <f t="shared" si="4"/>
        <v>-</v>
      </c>
      <c r="M78" s="12">
        <f t="shared" si="5"/>
        <v>50000</v>
      </c>
    </row>
    <row r="79" spans="2:13" x14ac:dyDescent="0.45">
      <c r="B79" s="9">
        <v>74</v>
      </c>
      <c r="C79" s="10" t="s">
        <v>74</v>
      </c>
      <c r="D79" s="10" t="s">
        <v>262</v>
      </c>
      <c r="E79" s="39">
        <v>2</v>
      </c>
      <c r="F79" s="43" t="str">
        <f t="shared" si="4"/>
        <v>o</v>
      </c>
      <c r="G79" s="44" t="str">
        <f t="shared" si="4"/>
        <v>-</v>
      </c>
      <c r="H79" s="44" t="str">
        <f t="shared" si="4"/>
        <v>-</v>
      </c>
      <c r="I79" s="44" t="str">
        <f t="shared" si="4"/>
        <v>-</v>
      </c>
      <c r="J79" s="44" t="str">
        <f t="shared" si="4"/>
        <v>-</v>
      </c>
      <c r="K79" s="44" t="str">
        <f t="shared" si="4"/>
        <v>-</v>
      </c>
      <c r="L79" s="44" t="str">
        <f t="shared" si="4"/>
        <v>-</v>
      </c>
      <c r="M79" s="12">
        <f t="shared" si="5"/>
        <v>50000</v>
      </c>
    </row>
    <row r="80" spans="2:13" x14ac:dyDescent="0.45">
      <c r="B80" s="9">
        <v>75</v>
      </c>
      <c r="C80" s="10" t="s">
        <v>75</v>
      </c>
      <c r="D80" s="10" t="s">
        <v>263</v>
      </c>
      <c r="E80" s="39">
        <v>2</v>
      </c>
      <c r="F80" s="43" t="str">
        <f t="shared" si="4"/>
        <v>o</v>
      </c>
      <c r="G80" s="44" t="str">
        <f t="shared" si="4"/>
        <v>-</v>
      </c>
      <c r="H80" s="44" t="str">
        <f t="shared" si="4"/>
        <v>-</v>
      </c>
      <c r="I80" s="44" t="str">
        <f t="shared" si="4"/>
        <v>-</v>
      </c>
      <c r="J80" s="44" t="str">
        <f t="shared" si="4"/>
        <v>-</v>
      </c>
      <c r="K80" s="44" t="str">
        <f t="shared" si="4"/>
        <v>-</v>
      </c>
      <c r="L80" s="44" t="str">
        <f t="shared" si="4"/>
        <v>-</v>
      </c>
      <c r="M80" s="12">
        <f t="shared" si="5"/>
        <v>50000</v>
      </c>
    </row>
    <row r="81" spans="2:13" x14ac:dyDescent="0.45">
      <c r="B81" s="9">
        <v>76</v>
      </c>
      <c r="C81" s="10" t="s">
        <v>76</v>
      </c>
      <c r="D81" s="10" t="s">
        <v>264</v>
      </c>
      <c r="E81" s="39">
        <v>2</v>
      </c>
      <c r="F81" s="43" t="str">
        <f t="shared" si="4"/>
        <v>o</v>
      </c>
      <c r="G81" s="44" t="str">
        <f t="shared" si="4"/>
        <v>-</v>
      </c>
      <c r="H81" s="44" t="str">
        <f t="shared" si="4"/>
        <v>-</v>
      </c>
      <c r="I81" s="44" t="str">
        <f t="shared" si="4"/>
        <v>-</v>
      </c>
      <c r="J81" s="44" t="str">
        <f t="shared" si="4"/>
        <v>-</v>
      </c>
      <c r="K81" s="44" t="str">
        <f t="shared" si="4"/>
        <v>-</v>
      </c>
      <c r="L81" s="44" t="str">
        <f t="shared" si="4"/>
        <v>-</v>
      </c>
      <c r="M81" s="12">
        <f t="shared" si="5"/>
        <v>50000</v>
      </c>
    </row>
    <row r="82" spans="2:13" x14ac:dyDescent="0.45">
      <c r="B82" s="9">
        <v>77</v>
      </c>
      <c r="C82" s="10" t="s">
        <v>77</v>
      </c>
      <c r="D82" s="10" t="s">
        <v>265</v>
      </c>
      <c r="E82" s="39">
        <v>2</v>
      </c>
      <c r="F82" s="43" t="str">
        <f t="shared" si="4"/>
        <v>o</v>
      </c>
      <c r="G82" s="44" t="str">
        <f t="shared" si="4"/>
        <v>-</v>
      </c>
      <c r="H82" s="44" t="str">
        <f t="shared" si="4"/>
        <v>-</v>
      </c>
      <c r="I82" s="44" t="str">
        <f t="shared" si="4"/>
        <v>-</v>
      </c>
      <c r="J82" s="44" t="str">
        <f t="shared" si="4"/>
        <v>-</v>
      </c>
      <c r="K82" s="44" t="str">
        <f t="shared" si="4"/>
        <v>-</v>
      </c>
      <c r="L82" s="44" t="str">
        <f t="shared" si="4"/>
        <v>-</v>
      </c>
      <c r="M82" s="12">
        <f t="shared" si="5"/>
        <v>50000</v>
      </c>
    </row>
    <row r="83" spans="2:13" x14ac:dyDescent="0.45">
      <c r="B83" s="9">
        <v>78</v>
      </c>
      <c r="C83" s="10" t="s">
        <v>78</v>
      </c>
      <c r="D83" s="10" t="s">
        <v>266</v>
      </c>
      <c r="E83" s="39">
        <v>2</v>
      </c>
      <c r="F83" s="43" t="str">
        <f t="shared" si="4"/>
        <v>o</v>
      </c>
      <c r="G83" s="44" t="str">
        <f t="shared" si="4"/>
        <v>-</v>
      </c>
      <c r="H83" s="44" t="str">
        <f t="shared" si="4"/>
        <v>-</v>
      </c>
      <c r="I83" s="44" t="str">
        <f t="shared" si="4"/>
        <v>-</v>
      </c>
      <c r="J83" s="44" t="str">
        <f t="shared" si="4"/>
        <v>-</v>
      </c>
      <c r="K83" s="44" t="str">
        <f t="shared" si="4"/>
        <v>-</v>
      </c>
      <c r="L83" s="44" t="str">
        <f t="shared" si="4"/>
        <v>-</v>
      </c>
      <c r="M83" s="12">
        <f t="shared" si="5"/>
        <v>50000</v>
      </c>
    </row>
    <row r="84" spans="2:13" x14ac:dyDescent="0.45">
      <c r="B84" s="9">
        <v>79</v>
      </c>
      <c r="C84" s="10" t="s">
        <v>79</v>
      </c>
      <c r="D84" s="10" t="s">
        <v>267</v>
      </c>
      <c r="E84" s="39">
        <v>2</v>
      </c>
      <c r="F84" s="43" t="str">
        <f t="shared" si="4"/>
        <v>o</v>
      </c>
      <c r="G84" s="44" t="str">
        <f t="shared" si="4"/>
        <v>-</v>
      </c>
      <c r="H84" s="44" t="str">
        <f t="shared" si="4"/>
        <v>-</v>
      </c>
      <c r="I84" s="44" t="str">
        <f t="shared" si="4"/>
        <v>-</v>
      </c>
      <c r="J84" s="44" t="str">
        <f t="shared" si="4"/>
        <v>-</v>
      </c>
      <c r="K84" s="44" t="str">
        <f t="shared" si="4"/>
        <v>-</v>
      </c>
      <c r="L84" s="44" t="str">
        <f t="shared" si="4"/>
        <v>-</v>
      </c>
      <c r="M84" s="12">
        <f t="shared" si="5"/>
        <v>50000</v>
      </c>
    </row>
    <row r="85" spans="2:13" x14ac:dyDescent="0.45">
      <c r="B85" s="9">
        <v>80</v>
      </c>
      <c r="C85" s="10" t="s">
        <v>80</v>
      </c>
      <c r="D85" s="10" t="s">
        <v>268</v>
      </c>
      <c r="E85" s="39">
        <v>2</v>
      </c>
      <c r="F85" s="43" t="str">
        <f t="shared" si="4"/>
        <v>o</v>
      </c>
      <c r="G85" s="44" t="str">
        <f t="shared" si="4"/>
        <v>-</v>
      </c>
      <c r="H85" s="44" t="str">
        <f t="shared" si="4"/>
        <v>-</v>
      </c>
      <c r="I85" s="44" t="str">
        <f t="shared" si="4"/>
        <v>-</v>
      </c>
      <c r="J85" s="44" t="str">
        <f t="shared" si="4"/>
        <v>-</v>
      </c>
      <c r="K85" s="44" t="str">
        <f t="shared" si="4"/>
        <v>-</v>
      </c>
      <c r="L85" s="44" t="str">
        <f t="shared" si="4"/>
        <v>-</v>
      </c>
      <c r="M85" s="12">
        <f t="shared" si="5"/>
        <v>50000</v>
      </c>
    </row>
    <row r="86" spans="2:13" x14ac:dyDescent="0.45">
      <c r="B86" s="9">
        <v>81</v>
      </c>
      <c r="C86" s="10" t="s">
        <v>81</v>
      </c>
      <c r="D86" s="10" t="s">
        <v>269</v>
      </c>
      <c r="E86" s="39">
        <v>2</v>
      </c>
      <c r="F86" s="43" t="str">
        <f t="shared" si="4"/>
        <v>o</v>
      </c>
      <c r="G86" s="44" t="str">
        <f t="shared" si="4"/>
        <v>-</v>
      </c>
      <c r="H86" s="44" t="str">
        <f t="shared" si="4"/>
        <v>-</v>
      </c>
      <c r="I86" s="44" t="str">
        <f t="shared" si="4"/>
        <v>-</v>
      </c>
      <c r="J86" s="44" t="str">
        <f t="shared" si="4"/>
        <v>-</v>
      </c>
      <c r="K86" s="44" t="str">
        <f t="shared" si="4"/>
        <v>-</v>
      </c>
      <c r="L86" s="44" t="str">
        <f t="shared" si="4"/>
        <v>-</v>
      </c>
      <c r="M86" s="12">
        <f t="shared" si="5"/>
        <v>50000</v>
      </c>
    </row>
    <row r="87" spans="2:13" x14ac:dyDescent="0.45">
      <c r="B87" s="9">
        <v>82</v>
      </c>
      <c r="C87" s="10" t="s">
        <v>82</v>
      </c>
      <c r="D87" s="10" t="s">
        <v>270</v>
      </c>
      <c r="E87" s="39">
        <v>2</v>
      </c>
      <c r="F87" s="43" t="str">
        <f t="shared" si="4"/>
        <v>o</v>
      </c>
      <c r="G87" s="44" t="str">
        <f t="shared" si="4"/>
        <v>-</v>
      </c>
      <c r="H87" s="44" t="str">
        <f t="shared" si="4"/>
        <v>-</v>
      </c>
      <c r="I87" s="44" t="str">
        <f t="shared" si="4"/>
        <v>-</v>
      </c>
      <c r="J87" s="44" t="str">
        <f t="shared" si="4"/>
        <v>-</v>
      </c>
      <c r="K87" s="44" t="str">
        <f t="shared" si="4"/>
        <v>-</v>
      </c>
      <c r="L87" s="44" t="str">
        <f t="shared" si="4"/>
        <v>-</v>
      </c>
      <c r="M87" s="12">
        <f t="shared" si="5"/>
        <v>50000</v>
      </c>
    </row>
    <row r="88" spans="2:13" x14ac:dyDescent="0.45">
      <c r="B88" s="9">
        <v>83</v>
      </c>
      <c r="C88" s="10" t="s">
        <v>83</v>
      </c>
      <c r="D88" s="10" t="s">
        <v>271</v>
      </c>
      <c r="E88" s="39">
        <v>2</v>
      </c>
      <c r="F88" s="43" t="str">
        <f t="shared" si="4"/>
        <v>o</v>
      </c>
      <c r="G88" s="44" t="str">
        <f t="shared" si="4"/>
        <v>-</v>
      </c>
      <c r="H88" s="44" t="str">
        <f t="shared" si="4"/>
        <v>-</v>
      </c>
      <c r="I88" s="44" t="str">
        <f t="shared" si="4"/>
        <v>-</v>
      </c>
      <c r="J88" s="44" t="str">
        <f t="shared" si="4"/>
        <v>-</v>
      </c>
      <c r="K88" s="44" t="str">
        <f t="shared" si="4"/>
        <v>-</v>
      </c>
      <c r="L88" s="44" t="str">
        <f t="shared" si="4"/>
        <v>-</v>
      </c>
      <c r="M88" s="12">
        <f t="shared" si="5"/>
        <v>50000</v>
      </c>
    </row>
    <row r="89" spans="2:13" x14ac:dyDescent="0.45">
      <c r="B89" s="9">
        <v>84</v>
      </c>
      <c r="C89" s="10" t="s">
        <v>84</v>
      </c>
      <c r="D89" s="10" t="s">
        <v>272</v>
      </c>
      <c r="E89" s="39">
        <v>2</v>
      </c>
      <c r="F89" s="43" t="str">
        <f t="shared" si="4"/>
        <v>o</v>
      </c>
      <c r="G89" s="44" t="str">
        <f t="shared" si="4"/>
        <v>-</v>
      </c>
      <c r="H89" s="44" t="str">
        <f t="shared" si="4"/>
        <v>-</v>
      </c>
      <c r="I89" s="44" t="str">
        <f t="shared" si="4"/>
        <v>-</v>
      </c>
      <c r="J89" s="44" t="str">
        <f t="shared" si="4"/>
        <v>-</v>
      </c>
      <c r="K89" s="44" t="str">
        <f t="shared" si="4"/>
        <v>-</v>
      </c>
      <c r="L89" s="44" t="str">
        <f t="shared" si="4"/>
        <v>-</v>
      </c>
      <c r="M89" s="12">
        <f t="shared" si="5"/>
        <v>50000</v>
      </c>
    </row>
    <row r="90" spans="2:13" x14ac:dyDescent="0.45">
      <c r="B90" s="9">
        <v>85</v>
      </c>
      <c r="C90" s="10" t="s">
        <v>85</v>
      </c>
      <c r="D90" s="10" t="s">
        <v>273</v>
      </c>
      <c r="E90" s="39">
        <v>2</v>
      </c>
      <c r="F90" s="43" t="str">
        <f t="shared" si="4"/>
        <v>o</v>
      </c>
      <c r="G90" s="44" t="str">
        <f t="shared" si="4"/>
        <v>-</v>
      </c>
      <c r="H90" s="44" t="str">
        <f t="shared" si="4"/>
        <v>-</v>
      </c>
      <c r="I90" s="44" t="str">
        <f t="shared" si="4"/>
        <v>-</v>
      </c>
      <c r="J90" s="44" t="str">
        <f t="shared" si="4"/>
        <v>-</v>
      </c>
      <c r="K90" s="44" t="str">
        <f t="shared" si="4"/>
        <v>-</v>
      </c>
      <c r="L90" s="44" t="str">
        <f t="shared" si="4"/>
        <v>-</v>
      </c>
      <c r="M90" s="12">
        <f t="shared" si="5"/>
        <v>50000</v>
      </c>
    </row>
    <row r="91" spans="2:13" x14ac:dyDescent="0.45">
      <c r="B91" s="9">
        <v>86</v>
      </c>
      <c r="C91" s="10" t="s">
        <v>86</v>
      </c>
      <c r="D91" s="10" t="s">
        <v>274</v>
      </c>
      <c r="E91" s="39">
        <v>2</v>
      </c>
      <c r="F91" s="43" t="str">
        <f t="shared" si="4"/>
        <v>o</v>
      </c>
      <c r="G91" s="44" t="str">
        <f t="shared" si="4"/>
        <v>-</v>
      </c>
      <c r="H91" s="44" t="str">
        <f t="shared" si="4"/>
        <v>-</v>
      </c>
      <c r="I91" s="44" t="str">
        <f t="shared" si="4"/>
        <v>-</v>
      </c>
      <c r="J91" s="44" t="str">
        <f t="shared" si="4"/>
        <v>-</v>
      </c>
      <c r="K91" s="44" t="str">
        <f t="shared" si="4"/>
        <v>-</v>
      </c>
      <c r="L91" s="44" t="str">
        <f t="shared" si="4"/>
        <v>-</v>
      </c>
      <c r="M91" s="12">
        <f t="shared" si="5"/>
        <v>50000</v>
      </c>
    </row>
    <row r="92" spans="2:13" x14ac:dyDescent="0.45">
      <c r="B92" s="9">
        <v>87</v>
      </c>
      <c r="C92" s="10" t="s">
        <v>87</v>
      </c>
      <c r="D92" s="10" t="s">
        <v>275</v>
      </c>
      <c r="E92" s="39">
        <v>2</v>
      </c>
      <c r="F92" s="43" t="str">
        <f t="shared" si="4"/>
        <v>o</v>
      </c>
      <c r="G92" s="44" t="str">
        <f t="shared" si="4"/>
        <v>-</v>
      </c>
      <c r="H92" s="44" t="str">
        <f t="shared" si="4"/>
        <v>-</v>
      </c>
      <c r="I92" s="44" t="str">
        <f t="shared" si="4"/>
        <v>-</v>
      </c>
      <c r="J92" s="44" t="str">
        <f t="shared" si="4"/>
        <v>-</v>
      </c>
      <c r="K92" s="44" t="str">
        <f t="shared" si="4"/>
        <v>-</v>
      </c>
      <c r="L92" s="44" t="str">
        <f t="shared" si="4"/>
        <v>-</v>
      </c>
      <c r="M92" s="12">
        <f t="shared" si="5"/>
        <v>50000</v>
      </c>
    </row>
    <row r="93" spans="2:13" x14ac:dyDescent="0.45">
      <c r="B93" s="9">
        <v>88</v>
      </c>
      <c r="C93" s="10" t="s">
        <v>88</v>
      </c>
      <c r="D93" s="10" t="s">
        <v>276</v>
      </c>
      <c r="E93" s="39">
        <v>2</v>
      </c>
      <c r="F93" s="43" t="str">
        <f t="shared" si="4"/>
        <v>o</v>
      </c>
      <c r="G93" s="44" t="str">
        <f t="shared" si="4"/>
        <v>-</v>
      </c>
      <c r="H93" s="44" t="str">
        <f t="shared" si="4"/>
        <v>-</v>
      </c>
      <c r="I93" s="44" t="str">
        <f t="shared" si="4"/>
        <v>-</v>
      </c>
      <c r="J93" s="44" t="str">
        <f t="shared" si="4"/>
        <v>-</v>
      </c>
      <c r="K93" s="44" t="str">
        <f t="shared" si="4"/>
        <v>-</v>
      </c>
      <c r="L93" s="44" t="str">
        <f t="shared" si="4"/>
        <v>-</v>
      </c>
      <c r="M93" s="12">
        <f t="shared" si="5"/>
        <v>50000</v>
      </c>
    </row>
    <row r="94" spans="2:13" x14ac:dyDescent="0.45">
      <c r="B94" s="9">
        <v>89</v>
      </c>
      <c r="C94" s="10" t="s">
        <v>89</v>
      </c>
      <c r="D94" s="10" t="s">
        <v>277</v>
      </c>
      <c r="E94" s="39">
        <v>2</v>
      </c>
      <c r="F94" s="43" t="str">
        <f t="shared" si="4"/>
        <v>o</v>
      </c>
      <c r="G94" s="44" t="str">
        <f t="shared" si="4"/>
        <v>-</v>
      </c>
      <c r="H94" s="44" t="str">
        <f t="shared" si="4"/>
        <v>-</v>
      </c>
      <c r="I94" s="44" t="str">
        <f t="shared" si="4"/>
        <v>-</v>
      </c>
      <c r="J94" s="44" t="str">
        <f t="shared" si="4"/>
        <v>-</v>
      </c>
      <c r="K94" s="44" t="str">
        <f t="shared" si="4"/>
        <v>-</v>
      </c>
      <c r="L94" s="44" t="str">
        <f t="shared" si="4"/>
        <v>-</v>
      </c>
      <c r="M94" s="12">
        <f t="shared" si="5"/>
        <v>50000</v>
      </c>
    </row>
    <row r="95" spans="2:13" x14ac:dyDescent="0.45">
      <c r="B95" s="9">
        <v>90</v>
      </c>
      <c r="C95" s="10" t="s">
        <v>90</v>
      </c>
      <c r="D95" s="10" t="s">
        <v>278</v>
      </c>
      <c r="E95" s="39">
        <v>2</v>
      </c>
      <c r="F95" s="43" t="str">
        <f t="shared" si="4"/>
        <v>o</v>
      </c>
      <c r="G95" s="44" t="str">
        <f t="shared" si="4"/>
        <v>-</v>
      </c>
      <c r="H95" s="44" t="str">
        <f t="shared" si="4"/>
        <v>-</v>
      </c>
      <c r="I95" s="44" t="str">
        <f t="shared" si="4"/>
        <v>-</v>
      </c>
      <c r="J95" s="44" t="str">
        <f t="shared" si="4"/>
        <v>-</v>
      </c>
      <c r="K95" s="44" t="str">
        <f t="shared" si="4"/>
        <v>-</v>
      </c>
      <c r="L95" s="44" t="str">
        <f t="shared" si="4"/>
        <v>-</v>
      </c>
      <c r="M95" s="12">
        <f t="shared" si="5"/>
        <v>50000</v>
      </c>
    </row>
    <row r="96" spans="2:13" x14ac:dyDescent="0.45">
      <c r="B96" s="9">
        <v>91</v>
      </c>
      <c r="C96" s="10" t="s">
        <v>91</v>
      </c>
      <c r="D96" s="10" t="s">
        <v>279</v>
      </c>
      <c r="E96" s="39">
        <v>2</v>
      </c>
      <c r="F96" s="43" t="str">
        <f t="shared" si="4"/>
        <v>o</v>
      </c>
      <c r="G96" s="44" t="str">
        <f t="shared" si="4"/>
        <v>-</v>
      </c>
      <c r="H96" s="44" t="str">
        <f t="shared" si="4"/>
        <v>-</v>
      </c>
      <c r="I96" s="44" t="str">
        <f t="shared" si="4"/>
        <v>-</v>
      </c>
      <c r="J96" s="44" t="str">
        <f t="shared" si="4"/>
        <v>-</v>
      </c>
      <c r="K96" s="44" t="str">
        <f t="shared" si="4"/>
        <v>-</v>
      </c>
      <c r="L96" s="44" t="str">
        <f t="shared" si="4"/>
        <v>-</v>
      </c>
      <c r="M96" s="12">
        <f t="shared" si="5"/>
        <v>50000</v>
      </c>
    </row>
    <row r="97" spans="2:13" x14ac:dyDescent="0.45">
      <c r="B97" s="9">
        <v>92</v>
      </c>
      <c r="C97" s="10" t="s">
        <v>38</v>
      </c>
      <c r="D97" s="10" t="s">
        <v>280</v>
      </c>
      <c r="E97" s="39">
        <v>2</v>
      </c>
      <c r="F97" s="43" t="str">
        <f t="shared" si="4"/>
        <v>o</v>
      </c>
      <c r="G97" s="44" t="str">
        <f t="shared" si="4"/>
        <v>-</v>
      </c>
      <c r="H97" s="44" t="str">
        <f t="shared" si="4"/>
        <v>-</v>
      </c>
      <c r="I97" s="44" t="str">
        <f t="shared" si="4"/>
        <v>-</v>
      </c>
      <c r="J97" s="44" t="str">
        <f t="shared" si="4"/>
        <v>-</v>
      </c>
      <c r="K97" s="44" t="str">
        <f t="shared" si="4"/>
        <v>-</v>
      </c>
      <c r="L97" s="44" t="str">
        <f t="shared" si="4"/>
        <v>-</v>
      </c>
      <c r="M97" s="12">
        <f t="shared" si="5"/>
        <v>50000</v>
      </c>
    </row>
    <row r="98" spans="2:13" x14ac:dyDescent="0.45">
      <c r="B98" s="9">
        <v>93</v>
      </c>
      <c r="C98" s="10" t="s">
        <v>92</v>
      </c>
      <c r="D98" s="10" t="s">
        <v>281</v>
      </c>
      <c r="E98" s="39">
        <v>2</v>
      </c>
      <c r="F98" s="43" t="str">
        <f t="shared" si="4"/>
        <v>o</v>
      </c>
      <c r="G98" s="44" t="str">
        <f t="shared" si="4"/>
        <v>-</v>
      </c>
      <c r="H98" s="44" t="str">
        <f t="shared" si="4"/>
        <v>-</v>
      </c>
      <c r="I98" s="44" t="str">
        <f t="shared" si="4"/>
        <v>-</v>
      </c>
      <c r="J98" s="44" t="str">
        <f t="shared" si="4"/>
        <v>-</v>
      </c>
      <c r="K98" s="44" t="str">
        <f t="shared" si="4"/>
        <v>-</v>
      </c>
      <c r="L98" s="44" t="str">
        <f t="shared" si="4"/>
        <v>-</v>
      </c>
      <c r="M98" s="12">
        <f t="shared" si="5"/>
        <v>50000</v>
      </c>
    </row>
    <row r="99" spans="2:13" x14ac:dyDescent="0.45">
      <c r="B99" s="9">
        <v>94</v>
      </c>
      <c r="C99" s="10" t="s">
        <v>93</v>
      </c>
      <c r="D99" s="10" t="s">
        <v>282</v>
      </c>
      <c r="E99" s="39">
        <v>2</v>
      </c>
      <c r="F99" s="43" t="str">
        <f t="shared" si="4"/>
        <v>o</v>
      </c>
      <c r="G99" s="44" t="str">
        <f t="shared" si="4"/>
        <v>-</v>
      </c>
      <c r="H99" s="44" t="str">
        <f t="shared" si="4"/>
        <v>-</v>
      </c>
      <c r="I99" s="44" t="str">
        <f t="shared" si="4"/>
        <v>-</v>
      </c>
      <c r="J99" s="44" t="str">
        <f t="shared" si="4"/>
        <v>-</v>
      </c>
      <c r="K99" s="44" t="str">
        <f t="shared" si="4"/>
        <v>-</v>
      </c>
      <c r="L99" s="44" t="str">
        <f t="shared" si="4"/>
        <v>-</v>
      </c>
      <c r="M99" s="12">
        <f t="shared" si="5"/>
        <v>50000</v>
      </c>
    </row>
    <row r="100" spans="2:13" x14ac:dyDescent="0.45">
      <c r="B100" s="9">
        <v>95</v>
      </c>
      <c r="C100" s="10" t="s">
        <v>94</v>
      </c>
      <c r="D100" s="10" t="s">
        <v>283</v>
      </c>
      <c r="E100" s="39">
        <v>2</v>
      </c>
      <c r="F100" s="43" t="str">
        <f t="shared" si="4"/>
        <v>o</v>
      </c>
      <c r="G100" s="44" t="str">
        <f t="shared" si="4"/>
        <v>-</v>
      </c>
      <c r="H100" s="44" t="str">
        <f t="shared" si="4"/>
        <v>-</v>
      </c>
      <c r="I100" s="44" t="str">
        <f t="shared" si="4"/>
        <v>-</v>
      </c>
      <c r="J100" s="44" t="str">
        <f t="shared" si="4"/>
        <v>-</v>
      </c>
      <c r="K100" s="44" t="str">
        <f t="shared" si="4"/>
        <v>-</v>
      </c>
      <c r="L100" s="44" t="str">
        <f t="shared" si="4"/>
        <v>-</v>
      </c>
      <c r="M100" s="12">
        <f t="shared" si="5"/>
        <v>50000</v>
      </c>
    </row>
    <row r="101" spans="2:13" x14ac:dyDescent="0.45">
      <c r="B101" s="9">
        <v>96</v>
      </c>
      <c r="C101" s="10" t="s">
        <v>95</v>
      </c>
      <c r="D101" s="10" t="s">
        <v>284</v>
      </c>
      <c r="E101" s="39">
        <v>2</v>
      </c>
      <c r="F101" s="43" t="str">
        <f t="shared" si="4"/>
        <v>o</v>
      </c>
      <c r="G101" s="44" t="str">
        <f t="shared" si="4"/>
        <v>-</v>
      </c>
      <c r="H101" s="44" t="str">
        <f t="shared" si="4"/>
        <v>-</v>
      </c>
      <c r="I101" s="44" t="str">
        <f t="shared" si="4"/>
        <v>-</v>
      </c>
      <c r="J101" s="44" t="str">
        <f t="shared" si="4"/>
        <v>-</v>
      </c>
      <c r="K101" s="44" t="str">
        <f t="shared" si="4"/>
        <v>-</v>
      </c>
      <c r="L101" s="44" t="str">
        <f t="shared" si="4"/>
        <v>-</v>
      </c>
      <c r="M101" s="12">
        <f t="shared" si="5"/>
        <v>50000</v>
      </c>
    </row>
    <row r="102" spans="2:13" x14ac:dyDescent="0.45">
      <c r="B102" s="9">
        <v>97</v>
      </c>
      <c r="C102" s="10" t="s">
        <v>96</v>
      </c>
      <c r="D102" s="10" t="s">
        <v>285</v>
      </c>
      <c r="E102" s="39">
        <v>2</v>
      </c>
      <c r="F102" s="43" t="str">
        <f t="shared" si="4"/>
        <v>o</v>
      </c>
      <c r="G102" s="44" t="str">
        <f t="shared" si="4"/>
        <v>-</v>
      </c>
      <c r="H102" s="44" t="str">
        <f t="shared" si="4"/>
        <v>-</v>
      </c>
      <c r="I102" s="44" t="str">
        <f t="shared" si="4"/>
        <v>-</v>
      </c>
      <c r="J102" s="44" t="str">
        <f t="shared" si="4"/>
        <v>-</v>
      </c>
      <c r="K102" s="44" t="str">
        <f t="shared" si="4"/>
        <v>-</v>
      </c>
      <c r="L102" s="44" t="str">
        <f t="shared" si="4"/>
        <v>-</v>
      </c>
      <c r="M102" s="12">
        <f t="shared" si="5"/>
        <v>50000</v>
      </c>
    </row>
    <row r="103" spans="2:13" x14ac:dyDescent="0.45">
      <c r="B103" s="9">
        <v>98</v>
      </c>
      <c r="C103" s="10" t="s">
        <v>97</v>
      </c>
      <c r="D103" s="10" t="s">
        <v>286</v>
      </c>
      <c r="E103" s="39">
        <v>2</v>
      </c>
      <c r="F103" s="43" t="str">
        <f t="shared" ref="F103:L134" si="6">IF(IFERROR(VLOOKUP($E103,$O:$O,1,1),0)&gt;=F$2,"o","-")</f>
        <v>o</v>
      </c>
      <c r="G103" s="44" t="str">
        <f t="shared" si="6"/>
        <v>-</v>
      </c>
      <c r="H103" s="44" t="str">
        <f t="shared" si="6"/>
        <v>-</v>
      </c>
      <c r="I103" s="44" t="str">
        <f t="shared" si="6"/>
        <v>-</v>
      </c>
      <c r="J103" s="44" t="str">
        <f t="shared" si="6"/>
        <v>-</v>
      </c>
      <c r="K103" s="44" t="str">
        <f t="shared" si="6"/>
        <v>-</v>
      </c>
      <c r="L103" s="44" t="str">
        <f t="shared" si="6"/>
        <v>-</v>
      </c>
      <c r="M103" s="12">
        <f t="shared" si="5"/>
        <v>50000</v>
      </c>
    </row>
    <row r="104" spans="2:13" x14ac:dyDescent="0.45">
      <c r="B104" s="9">
        <v>99</v>
      </c>
      <c r="C104" s="10" t="s">
        <v>98</v>
      </c>
      <c r="D104" s="10" t="s">
        <v>287</v>
      </c>
      <c r="E104" s="39">
        <v>2</v>
      </c>
      <c r="F104" s="43" t="str">
        <f t="shared" si="6"/>
        <v>o</v>
      </c>
      <c r="G104" s="44" t="str">
        <f t="shared" si="6"/>
        <v>-</v>
      </c>
      <c r="H104" s="44" t="str">
        <f t="shared" si="6"/>
        <v>-</v>
      </c>
      <c r="I104" s="44" t="str">
        <f t="shared" si="6"/>
        <v>-</v>
      </c>
      <c r="J104" s="44" t="str">
        <f t="shared" si="6"/>
        <v>-</v>
      </c>
      <c r="K104" s="44" t="str">
        <f t="shared" si="6"/>
        <v>-</v>
      </c>
      <c r="L104" s="44" t="str">
        <f t="shared" si="6"/>
        <v>-</v>
      </c>
      <c r="M104" s="12">
        <f t="shared" si="5"/>
        <v>50000</v>
      </c>
    </row>
    <row r="105" spans="2:13" x14ac:dyDescent="0.45">
      <c r="B105" s="9">
        <v>100</v>
      </c>
      <c r="C105" s="10" t="s">
        <v>99</v>
      </c>
      <c r="D105" s="10" t="s">
        <v>288</v>
      </c>
      <c r="E105" s="39">
        <v>2</v>
      </c>
      <c r="F105" s="43" t="str">
        <f t="shared" si="6"/>
        <v>o</v>
      </c>
      <c r="G105" s="44" t="str">
        <f t="shared" si="6"/>
        <v>-</v>
      </c>
      <c r="H105" s="44" t="str">
        <f t="shared" si="6"/>
        <v>-</v>
      </c>
      <c r="I105" s="44" t="str">
        <f t="shared" si="6"/>
        <v>-</v>
      </c>
      <c r="J105" s="44" t="str">
        <f t="shared" si="6"/>
        <v>-</v>
      </c>
      <c r="K105" s="44" t="str">
        <f t="shared" si="6"/>
        <v>-</v>
      </c>
      <c r="L105" s="44" t="str">
        <f t="shared" si="6"/>
        <v>-</v>
      </c>
      <c r="M105" s="12">
        <f t="shared" si="5"/>
        <v>50000</v>
      </c>
    </row>
    <row r="106" spans="2:13" x14ac:dyDescent="0.45">
      <c r="B106" s="9">
        <v>101</v>
      </c>
      <c r="C106" s="10" t="s">
        <v>100</v>
      </c>
      <c r="D106" s="10" t="s">
        <v>289</v>
      </c>
      <c r="E106" s="39">
        <v>2</v>
      </c>
      <c r="F106" s="43" t="str">
        <f t="shared" si="6"/>
        <v>o</v>
      </c>
      <c r="G106" s="44" t="str">
        <f t="shared" si="6"/>
        <v>-</v>
      </c>
      <c r="H106" s="44" t="str">
        <f t="shared" si="6"/>
        <v>-</v>
      </c>
      <c r="I106" s="44" t="str">
        <f t="shared" si="6"/>
        <v>-</v>
      </c>
      <c r="J106" s="44" t="str">
        <f t="shared" si="6"/>
        <v>-</v>
      </c>
      <c r="K106" s="44" t="str">
        <f t="shared" si="6"/>
        <v>-</v>
      </c>
      <c r="L106" s="44" t="str">
        <f t="shared" si="6"/>
        <v>-</v>
      </c>
      <c r="M106" s="12">
        <f t="shared" si="5"/>
        <v>50000</v>
      </c>
    </row>
    <row r="107" spans="2:13" x14ac:dyDescent="0.45">
      <c r="B107" s="9">
        <v>102</v>
      </c>
      <c r="C107" s="10" t="s">
        <v>101</v>
      </c>
      <c r="D107" s="10" t="s">
        <v>290</v>
      </c>
      <c r="E107" s="39">
        <v>2</v>
      </c>
      <c r="F107" s="43" t="str">
        <f t="shared" si="6"/>
        <v>o</v>
      </c>
      <c r="G107" s="44" t="str">
        <f t="shared" si="6"/>
        <v>-</v>
      </c>
      <c r="H107" s="44" t="str">
        <f t="shared" si="6"/>
        <v>-</v>
      </c>
      <c r="I107" s="44" t="str">
        <f t="shared" si="6"/>
        <v>-</v>
      </c>
      <c r="J107" s="44" t="str">
        <f t="shared" si="6"/>
        <v>-</v>
      </c>
      <c r="K107" s="44" t="str">
        <f t="shared" si="6"/>
        <v>-</v>
      </c>
      <c r="L107" s="44" t="str">
        <f t="shared" si="6"/>
        <v>-</v>
      </c>
      <c r="M107" s="12">
        <f t="shared" si="5"/>
        <v>50000</v>
      </c>
    </row>
    <row r="108" spans="2:13" x14ac:dyDescent="0.45">
      <c r="B108" s="9">
        <v>103</v>
      </c>
      <c r="C108" s="10" t="s">
        <v>102</v>
      </c>
      <c r="D108" s="10" t="s">
        <v>291</v>
      </c>
      <c r="E108" s="39">
        <v>2</v>
      </c>
      <c r="F108" s="43" t="str">
        <f t="shared" si="6"/>
        <v>o</v>
      </c>
      <c r="G108" s="44" t="str">
        <f t="shared" si="6"/>
        <v>-</v>
      </c>
      <c r="H108" s="44" t="str">
        <f t="shared" si="6"/>
        <v>-</v>
      </c>
      <c r="I108" s="44" t="str">
        <f t="shared" si="6"/>
        <v>-</v>
      </c>
      <c r="J108" s="44" t="str">
        <f t="shared" si="6"/>
        <v>-</v>
      </c>
      <c r="K108" s="44" t="str">
        <f t="shared" si="6"/>
        <v>-</v>
      </c>
      <c r="L108" s="44" t="str">
        <f t="shared" si="6"/>
        <v>-</v>
      </c>
      <c r="M108" s="12">
        <f t="shared" si="5"/>
        <v>50000</v>
      </c>
    </row>
    <row r="109" spans="2:13" x14ac:dyDescent="0.45">
      <c r="B109" s="9">
        <v>104</v>
      </c>
      <c r="C109" s="10" t="s">
        <v>103</v>
      </c>
      <c r="D109" s="10" t="s">
        <v>292</v>
      </c>
      <c r="E109" s="39">
        <v>2</v>
      </c>
      <c r="F109" s="43" t="str">
        <f t="shared" si="6"/>
        <v>o</v>
      </c>
      <c r="G109" s="44" t="str">
        <f t="shared" si="6"/>
        <v>-</v>
      </c>
      <c r="H109" s="44" t="str">
        <f t="shared" si="6"/>
        <v>-</v>
      </c>
      <c r="I109" s="44" t="str">
        <f t="shared" si="6"/>
        <v>-</v>
      </c>
      <c r="J109" s="44" t="str">
        <f t="shared" si="6"/>
        <v>-</v>
      </c>
      <c r="K109" s="44" t="str">
        <f t="shared" si="6"/>
        <v>-</v>
      </c>
      <c r="L109" s="44" t="str">
        <f t="shared" si="6"/>
        <v>-</v>
      </c>
      <c r="M109" s="12">
        <f t="shared" si="5"/>
        <v>50000</v>
      </c>
    </row>
    <row r="110" spans="2:13" x14ac:dyDescent="0.45">
      <c r="B110" s="9">
        <v>105</v>
      </c>
      <c r="C110" s="10" t="s">
        <v>104</v>
      </c>
      <c r="D110" s="10" t="s">
        <v>293</v>
      </c>
      <c r="E110" s="39">
        <v>2</v>
      </c>
      <c r="F110" s="43" t="str">
        <f t="shared" si="6"/>
        <v>o</v>
      </c>
      <c r="G110" s="44" t="str">
        <f t="shared" si="6"/>
        <v>-</v>
      </c>
      <c r="H110" s="44" t="str">
        <f t="shared" si="6"/>
        <v>-</v>
      </c>
      <c r="I110" s="44" t="str">
        <f t="shared" si="6"/>
        <v>-</v>
      </c>
      <c r="J110" s="44" t="str">
        <f t="shared" si="6"/>
        <v>-</v>
      </c>
      <c r="K110" s="44" t="str">
        <f t="shared" si="6"/>
        <v>-</v>
      </c>
      <c r="L110" s="44" t="str">
        <f t="shared" si="6"/>
        <v>-</v>
      </c>
      <c r="M110" s="12">
        <f t="shared" si="5"/>
        <v>50000</v>
      </c>
    </row>
    <row r="111" spans="2:13" x14ac:dyDescent="0.45">
      <c r="B111" s="9">
        <v>106</v>
      </c>
      <c r="C111" s="10" t="s">
        <v>105</v>
      </c>
      <c r="D111" s="10" t="s">
        <v>294</v>
      </c>
      <c r="E111" s="39">
        <v>2</v>
      </c>
      <c r="F111" s="43" t="str">
        <f t="shared" si="6"/>
        <v>o</v>
      </c>
      <c r="G111" s="44" t="str">
        <f t="shared" si="6"/>
        <v>-</v>
      </c>
      <c r="H111" s="44" t="str">
        <f t="shared" si="6"/>
        <v>-</v>
      </c>
      <c r="I111" s="44" t="str">
        <f t="shared" si="6"/>
        <v>-</v>
      </c>
      <c r="J111" s="44" t="str">
        <f t="shared" si="6"/>
        <v>-</v>
      </c>
      <c r="K111" s="44" t="str">
        <f t="shared" si="6"/>
        <v>-</v>
      </c>
      <c r="L111" s="44" t="str">
        <f t="shared" si="6"/>
        <v>-</v>
      </c>
      <c r="M111" s="12">
        <f t="shared" si="5"/>
        <v>50000</v>
      </c>
    </row>
    <row r="112" spans="2:13" x14ac:dyDescent="0.45">
      <c r="B112" s="9">
        <v>107</v>
      </c>
      <c r="C112" s="10" t="s">
        <v>106</v>
      </c>
      <c r="D112" s="10" t="s">
        <v>295</v>
      </c>
      <c r="E112" s="39">
        <v>2</v>
      </c>
      <c r="F112" s="43" t="str">
        <f t="shared" si="6"/>
        <v>o</v>
      </c>
      <c r="G112" s="44" t="str">
        <f t="shared" si="6"/>
        <v>-</v>
      </c>
      <c r="H112" s="44" t="str">
        <f t="shared" si="6"/>
        <v>-</v>
      </c>
      <c r="I112" s="44" t="str">
        <f t="shared" si="6"/>
        <v>-</v>
      </c>
      <c r="J112" s="44" t="str">
        <f t="shared" si="6"/>
        <v>-</v>
      </c>
      <c r="K112" s="44" t="str">
        <f t="shared" si="6"/>
        <v>-</v>
      </c>
      <c r="L112" s="44" t="str">
        <f t="shared" si="6"/>
        <v>-</v>
      </c>
      <c r="M112" s="12">
        <f t="shared" si="5"/>
        <v>50000</v>
      </c>
    </row>
    <row r="113" spans="2:13" x14ac:dyDescent="0.45">
      <c r="B113" s="9">
        <v>108</v>
      </c>
      <c r="C113" s="10" t="s">
        <v>107</v>
      </c>
      <c r="D113" s="10" t="s">
        <v>296</v>
      </c>
      <c r="E113" s="39">
        <v>2</v>
      </c>
      <c r="F113" s="43" t="str">
        <f t="shared" si="6"/>
        <v>o</v>
      </c>
      <c r="G113" s="44" t="str">
        <f t="shared" si="6"/>
        <v>-</v>
      </c>
      <c r="H113" s="44" t="str">
        <f t="shared" si="6"/>
        <v>-</v>
      </c>
      <c r="I113" s="44" t="str">
        <f t="shared" si="6"/>
        <v>-</v>
      </c>
      <c r="J113" s="44" t="str">
        <f t="shared" si="6"/>
        <v>-</v>
      </c>
      <c r="K113" s="44" t="str">
        <f t="shared" si="6"/>
        <v>-</v>
      </c>
      <c r="L113" s="44" t="str">
        <f t="shared" si="6"/>
        <v>-</v>
      </c>
      <c r="M113" s="12">
        <f t="shared" si="5"/>
        <v>50000</v>
      </c>
    </row>
    <row r="114" spans="2:13" x14ac:dyDescent="0.45">
      <c r="B114" s="9">
        <v>109</v>
      </c>
      <c r="C114" s="10" t="s">
        <v>108</v>
      </c>
      <c r="D114" s="10" t="s">
        <v>297</v>
      </c>
      <c r="E114" s="39">
        <v>2</v>
      </c>
      <c r="F114" s="43" t="str">
        <f t="shared" si="6"/>
        <v>o</v>
      </c>
      <c r="G114" s="44" t="str">
        <f t="shared" si="6"/>
        <v>-</v>
      </c>
      <c r="H114" s="44" t="str">
        <f t="shared" si="6"/>
        <v>-</v>
      </c>
      <c r="I114" s="44" t="str">
        <f t="shared" si="6"/>
        <v>-</v>
      </c>
      <c r="J114" s="44" t="str">
        <f t="shared" si="6"/>
        <v>-</v>
      </c>
      <c r="K114" s="44" t="str">
        <f t="shared" si="6"/>
        <v>-</v>
      </c>
      <c r="L114" s="44" t="str">
        <f t="shared" si="6"/>
        <v>-</v>
      </c>
      <c r="M114" s="12">
        <f t="shared" si="5"/>
        <v>50000</v>
      </c>
    </row>
    <row r="115" spans="2:13" x14ac:dyDescent="0.45">
      <c r="B115" s="9">
        <v>110</v>
      </c>
      <c r="C115" s="10" t="s">
        <v>109</v>
      </c>
      <c r="D115" s="10" t="s">
        <v>298</v>
      </c>
      <c r="E115" s="39">
        <v>2</v>
      </c>
      <c r="F115" s="43" t="str">
        <f t="shared" si="6"/>
        <v>o</v>
      </c>
      <c r="G115" s="44" t="str">
        <f t="shared" si="6"/>
        <v>-</v>
      </c>
      <c r="H115" s="44" t="str">
        <f t="shared" si="6"/>
        <v>-</v>
      </c>
      <c r="I115" s="44" t="str">
        <f t="shared" si="6"/>
        <v>-</v>
      </c>
      <c r="J115" s="44" t="str">
        <f t="shared" si="6"/>
        <v>-</v>
      </c>
      <c r="K115" s="44" t="str">
        <f t="shared" si="6"/>
        <v>-</v>
      </c>
      <c r="L115" s="44" t="str">
        <f t="shared" si="6"/>
        <v>-</v>
      </c>
      <c r="M115" s="12">
        <f t="shared" si="5"/>
        <v>50000</v>
      </c>
    </row>
    <row r="116" spans="2:13" x14ac:dyDescent="0.45">
      <c r="B116" s="9">
        <v>111</v>
      </c>
      <c r="C116" s="10" t="s">
        <v>110</v>
      </c>
      <c r="D116" s="10" t="s">
        <v>299</v>
      </c>
      <c r="E116" s="39">
        <v>2</v>
      </c>
      <c r="F116" s="43" t="str">
        <f t="shared" si="6"/>
        <v>o</v>
      </c>
      <c r="G116" s="44" t="str">
        <f t="shared" si="6"/>
        <v>-</v>
      </c>
      <c r="H116" s="44" t="str">
        <f t="shared" si="6"/>
        <v>-</v>
      </c>
      <c r="I116" s="44" t="str">
        <f t="shared" si="6"/>
        <v>-</v>
      </c>
      <c r="J116" s="44" t="str">
        <f t="shared" si="6"/>
        <v>-</v>
      </c>
      <c r="K116" s="44" t="str">
        <f t="shared" si="6"/>
        <v>-</v>
      </c>
      <c r="L116" s="44" t="str">
        <f t="shared" si="6"/>
        <v>-</v>
      </c>
      <c r="M116" s="12">
        <f t="shared" si="5"/>
        <v>50000</v>
      </c>
    </row>
    <row r="117" spans="2:13" x14ac:dyDescent="0.45">
      <c r="B117" s="9">
        <v>112</v>
      </c>
      <c r="C117" s="10" t="s">
        <v>111</v>
      </c>
      <c r="D117" s="10" t="s">
        <v>300</v>
      </c>
      <c r="E117" s="39">
        <v>2</v>
      </c>
      <c r="F117" s="43" t="str">
        <f t="shared" si="6"/>
        <v>o</v>
      </c>
      <c r="G117" s="44" t="str">
        <f t="shared" si="6"/>
        <v>-</v>
      </c>
      <c r="H117" s="44" t="str">
        <f t="shared" si="6"/>
        <v>-</v>
      </c>
      <c r="I117" s="44" t="str">
        <f t="shared" si="6"/>
        <v>-</v>
      </c>
      <c r="J117" s="44" t="str">
        <f t="shared" si="6"/>
        <v>-</v>
      </c>
      <c r="K117" s="44" t="str">
        <f t="shared" si="6"/>
        <v>-</v>
      </c>
      <c r="L117" s="44" t="str">
        <f t="shared" si="6"/>
        <v>-</v>
      </c>
      <c r="M117" s="12">
        <f t="shared" si="5"/>
        <v>50000</v>
      </c>
    </row>
    <row r="118" spans="2:13" x14ac:dyDescent="0.45">
      <c r="B118" s="9">
        <v>113</v>
      </c>
      <c r="C118" s="10" t="s">
        <v>112</v>
      </c>
      <c r="D118" s="10" t="s">
        <v>301</v>
      </c>
      <c r="E118" s="39">
        <v>2</v>
      </c>
      <c r="F118" s="43" t="str">
        <f t="shared" si="6"/>
        <v>o</v>
      </c>
      <c r="G118" s="44" t="str">
        <f t="shared" si="6"/>
        <v>-</v>
      </c>
      <c r="H118" s="44" t="str">
        <f t="shared" si="6"/>
        <v>-</v>
      </c>
      <c r="I118" s="44" t="str">
        <f t="shared" si="6"/>
        <v>-</v>
      </c>
      <c r="J118" s="44" t="str">
        <f t="shared" si="6"/>
        <v>-</v>
      </c>
      <c r="K118" s="44" t="str">
        <f t="shared" si="6"/>
        <v>-</v>
      </c>
      <c r="L118" s="44" t="str">
        <f t="shared" si="6"/>
        <v>-</v>
      </c>
      <c r="M118" s="12">
        <f t="shared" si="5"/>
        <v>50000</v>
      </c>
    </row>
    <row r="119" spans="2:13" x14ac:dyDescent="0.45">
      <c r="B119" s="9">
        <v>114</v>
      </c>
      <c r="C119" s="10" t="s">
        <v>113</v>
      </c>
      <c r="D119" s="10" t="s">
        <v>302</v>
      </c>
      <c r="E119" s="39">
        <v>2</v>
      </c>
      <c r="F119" s="43" t="str">
        <f t="shared" si="6"/>
        <v>o</v>
      </c>
      <c r="G119" s="44" t="str">
        <f t="shared" si="6"/>
        <v>-</v>
      </c>
      <c r="H119" s="44" t="str">
        <f t="shared" si="6"/>
        <v>-</v>
      </c>
      <c r="I119" s="44" t="str">
        <f t="shared" si="6"/>
        <v>-</v>
      </c>
      <c r="J119" s="44" t="str">
        <f t="shared" si="6"/>
        <v>-</v>
      </c>
      <c r="K119" s="44" t="str">
        <f t="shared" si="6"/>
        <v>-</v>
      </c>
      <c r="L119" s="44" t="str">
        <f t="shared" si="6"/>
        <v>-</v>
      </c>
      <c r="M119" s="12">
        <f t="shared" si="5"/>
        <v>50000</v>
      </c>
    </row>
    <row r="120" spans="2:13" x14ac:dyDescent="0.45">
      <c r="B120" s="9">
        <v>115</v>
      </c>
      <c r="C120" s="10" t="s">
        <v>114</v>
      </c>
      <c r="D120" s="10" t="s">
        <v>303</v>
      </c>
      <c r="E120" s="39">
        <v>2</v>
      </c>
      <c r="F120" s="43" t="str">
        <f t="shared" si="6"/>
        <v>o</v>
      </c>
      <c r="G120" s="44" t="str">
        <f t="shared" si="6"/>
        <v>-</v>
      </c>
      <c r="H120" s="44" t="str">
        <f t="shared" si="6"/>
        <v>-</v>
      </c>
      <c r="I120" s="44" t="str">
        <f t="shared" si="6"/>
        <v>-</v>
      </c>
      <c r="J120" s="44" t="str">
        <f t="shared" si="6"/>
        <v>-</v>
      </c>
      <c r="K120" s="44" t="str">
        <f t="shared" si="6"/>
        <v>-</v>
      </c>
      <c r="L120" s="44" t="str">
        <f t="shared" si="6"/>
        <v>-</v>
      </c>
      <c r="M120" s="12">
        <f t="shared" si="5"/>
        <v>50000</v>
      </c>
    </row>
    <row r="121" spans="2:13" x14ac:dyDescent="0.45">
      <c r="B121" s="9">
        <v>116</v>
      </c>
      <c r="C121" s="10" t="s">
        <v>115</v>
      </c>
      <c r="D121" s="10" t="s">
        <v>304</v>
      </c>
      <c r="E121" s="39">
        <v>2</v>
      </c>
      <c r="F121" s="43" t="str">
        <f t="shared" si="6"/>
        <v>o</v>
      </c>
      <c r="G121" s="44" t="str">
        <f t="shared" si="6"/>
        <v>-</v>
      </c>
      <c r="H121" s="44" t="str">
        <f t="shared" si="6"/>
        <v>-</v>
      </c>
      <c r="I121" s="44" t="str">
        <f t="shared" si="6"/>
        <v>-</v>
      </c>
      <c r="J121" s="44" t="str">
        <f t="shared" si="6"/>
        <v>-</v>
      </c>
      <c r="K121" s="44" t="str">
        <f t="shared" si="6"/>
        <v>-</v>
      </c>
      <c r="L121" s="44" t="str">
        <f t="shared" si="6"/>
        <v>-</v>
      </c>
      <c r="M121" s="12">
        <f t="shared" si="5"/>
        <v>50000</v>
      </c>
    </row>
    <row r="122" spans="2:13" x14ac:dyDescent="0.45">
      <c r="B122" s="9">
        <v>117</v>
      </c>
      <c r="C122" s="10" t="s">
        <v>116</v>
      </c>
      <c r="D122" s="10" t="s">
        <v>305</v>
      </c>
      <c r="E122" s="39">
        <v>2</v>
      </c>
      <c r="F122" s="43" t="str">
        <f t="shared" si="6"/>
        <v>o</v>
      </c>
      <c r="G122" s="44" t="str">
        <f t="shared" si="6"/>
        <v>-</v>
      </c>
      <c r="H122" s="44" t="str">
        <f t="shared" si="6"/>
        <v>-</v>
      </c>
      <c r="I122" s="44" t="str">
        <f t="shared" si="6"/>
        <v>-</v>
      </c>
      <c r="J122" s="44" t="str">
        <f t="shared" si="6"/>
        <v>-</v>
      </c>
      <c r="K122" s="44" t="str">
        <f t="shared" si="6"/>
        <v>-</v>
      </c>
      <c r="L122" s="44" t="str">
        <f t="shared" si="6"/>
        <v>-</v>
      </c>
      <c r="M122" s="12">
        <f t="shared" si="5"/>
        <v>50000</v>
      </c>
    </row>
    <row r="123" spans="2:13" x14ac:dyDescent="0.45">
      <c r="B123" s="9">
        <v>118</v>
      </c>
      <c r="C123" s="10" t="s">
        <v>117</v>
      </c>
      <c r="D123" s="10" t="s">
        <v>306</v>
      </c>
      <c r="E123" s="39">
        <v>2</v>
      </c>
      <c r="F123" s="43" t="str">
        <f t="shared" si="6"/>
        <v>o</v>
      </c>
      <c r="G123" s="44" t="str">
        <f t="shared" si="6"/>
        <v>-</v>
      </c>
      <c r="H123" s="44" t="str">
        <f t="shared" si="6"/>
        <v>-</v>
      </c>
      <c r="I123" s="44" t="str">
        <f t="shared" si="6"/>
        <v>-</v>
      </c>
      <c r="J123" s="44" t="str">
        <f t="shared" si="6"/>
        <v>-</v>
      </c>
      <c r="K123" s="44" t="str">
        <f t="shared" si="6"/>
        <v>-</v>
      </c>
      <c r="L123" s="44" t="str">
        <f t="shared" si="6"/>
        <v>-</v>
      </c>
      <c r="M123" s="12">
        <f t="shared" si="5"/>
        <v>50000</v>
      </c>
    </row>
    <row r="124" spans="2:13" x14ac:dyDescent="0.45">
      <c r="B124" s="9">
        <v>119</v>
      </c>
      <c r="C124" s="10" t="s">
        <v>118</v>
      </c>
      <c r="D124" s="10" t="s">
        <v>307</v>
      </c>
      <c r="E124" s="39">
        <v>2</v>
      </c>
      <c r="F124" s="43" t="str">
        <f t="shared" si="6"/>
        <v>o</v>
      </c>
      <c r="G124" s="44" t="str">
        <f t="shared" si="6"/>
        <v>-</v>
      </c>
      <c r="H124" s="44" t="str">
        <f t="shared" si="6"/>
        <v>-</v>
      </c>
      <c r="I124" s="44" t="str">
        <f t="shared" si="6"/>
        <v>-</v>
      </c>
      <c r="J124" s="44" t="str">
        <f t="shared" si="6"/>
        <v>-</v>
      </c>
      <c r="K124" s="44" t="str">
        <f t="shared" si="6"/>
        <v>-</v>
      </c>
      <c r="L124" s="44" t="str">
        <f t="shared" si="6"/>
        <v>-</v>
      </c>
      <c r="M124" s="12">
        <f t="shared" si="5"/>
        <v>50000</v>
      </c>
    </row>
    <row r="125" spans="2:13" x14ac:dyDescent="0.45">
      <c r="B125" s="9">
        <v>120</v>
      </c>
      <c r="C125" s="10" t="s">
        <v>119</v>
      </c>
      <c r="D125" s="10" t="s">
        <v>308</v>
      </c>
      <c r="E125" s="39">
        <v>2</v>
      </c>
      <c r="F125" s="43" t="str">
        <f t="shared" si="6"/>
        <v>o</v>
      </c>
      <c r="G125" s="44" t="str">
        <f t="shared" si="6"/>
        <v>-</v>
      </c>
      <c r="H125" s="44" t="str">
        <f t="shared" si="6"/>
        <v>-</v>
      </c>
      <c r="I125" s="44" t="str">
        <f t="shared" si="6"/>
        <v>-</v>
      </c>
      <c r="J125" s="44" t="str">
        <f t="shared" si="6"/>
        <v>-</v>
      </c>
      <c r="K125" s="44" t="str">
        <f t="shared" si="6"/>
        <v>-</v>
      </c>
      <c r="L125" s="44" t="str">
        <f t="shared" si="6"/>
        <v>-</v>
      </c>
      <c r="M125" s="12">
        <f t="shared" si="5"/>
        <v>50000</v>
      </c>
    </row>
    <row r="126" spans="2:13" x14ac:dyDescent="0.45">
      <c r="B126" s="9">
        <v>121</v>
      </c>
      <c r="C126" s="10" t="s">
        <v>120</v>
      </c>
      <c r="D126" s="10" t="s">
        <v>309</v>
      </c>
      <c r="E126" s="39">
        <v>2</v>
      </c>
      <c r="F126" s="43" t="str">
        <f t="shared" si="6"/>
        <v>o</v>
      </c>
      <c r="G126" s="44" t="str">
        <f t="shared" si="6"/>
        <v>-</v>
      </c>
      <c r="H126" s="44" t="str">
        <f t="shared" si="6"/>
        <v>-</v>
      </c>
      <c r="I126" s="44" t="str">
        <f t="shared" si="6"/>
        <v>-</v>
      </c>
      <c r="J126" s="44" t="str">
        <f t="shared" si="6"/>
        <v>-</v>
      </c>
      <c r="K126" s="44" t="str">
        <f t="shared" si="6"/>
        <v>-</v>
      </c>
      <c r="L126" s="44" t="str">
        <f t="shared" si="6"/>
        <v>-</v>
      </c>
      <c r="M126" s="12">
        <f t="shared" si="5"/>
        <v>50000</v>
      </c>
    </row>
    <row r="127" spans="2:13" x14ac:dyDescent="0.45">
      <c r="B127" s="9">
        <v>122</v>
      </c>
      <c r="C127" s="10" t="s">
        <v>121</v>
      </c>
      <c r="D127" s="10" t="s">
        <v>310</v>
      </c>
      <c r="E127" s="39">
        <v>2</v>
      </c>
      <c r="F127" s="43" t="str">
        <f t="shared" si="6"/>
        <v>o</v>
      </c>
      <c r="G127" s="44" t="str">
        <f t="shared" si="6"/>
        <v>-</v>
      </c>
      <c r="H127" s="44" t="str">
        <f t="shared" si="6"/>
        <v>-</v>
      </c>
      <c r="I127" s="44" t="str">
        <f t="shared" si="6"/>
        <v>-</v>
      </c>
      <c r="J127" s="44" t="str">
        <f t="shared" si="6"/>
        <v>-</v>
      </c>
      <c r="K127" s="44" t="str">
        <f t="shared" si="6"/>
        <v>-</v>
      </c>
      <c r="L127" s="44" t="str">
        <f t="shared" si="6"/>
        <v>-</v>
      </c>
      <c r="M127" s="12">
        <f t="shared" si="5"/>
        <v>50000</v>
      </c>
    </row>
    <row r="128" spans="2:13" x14ac:dyDescent="0.45">
      <c r="B128" s="9">
        <v>123</v>
      </c>
      <c r="C128" s="10" t="s">
        <v>122</v>
      </c>
      <c r="D128" s="10" t="s">
        <v>311</v>
      </c>
      <c r="E128" s="39">
        <v>2</v>
      </c>
      <c r="F128" s="43" t="str">
        <f t="shared" si="6"/>
        <v>o</v>
      </c>
      <c r="G128" s="44" t="str">
        <f t="shared" si="6"/>
        <v>-</v>
      </c>
      <c r="H128" s="44" t="str">
        <f t="shared" si="6"/>
        <v>-</v>
      </c>
      <c r="I128" s="44" t="str">
        <f t="shared" si="6"/>
        <v>-</v>
      </c>
      <c r="J128" s="44" t="str">
        <f t="shared" si="6"/>
        <v>-</v>
      </c>
      <c r="K128" s="44" t="str">
        <f t="shared" si="6"/>
        <v>-</v>
      </c>
      <c r="L128" s="44" t="str">
        <f t="shared" si="6"/>
        <v>-</v>
      </c>
      <c r="M128" s="12">
        <f t="shared" si="5"/>
        <v>50000</v>
      </c>
    </row>
    <row r="129" spans="2:13" x14ac:dyDescent="0.45">
      <c r="B129" s="9">
        <v>124</v>
      </c>
      <c r="C129" s="10" t="s">
        <v>123</v>
      </c>
      <c r="D129" s="10" t="s">
        <v>312</v>
      </c>
      <c r="E129" s="39">
        <v>2</v>
      </c>
      <c r="F129" s="43" t="str">
        <f t="shared" si="6"/>
        <v>o</v>
      </c>
      <c r="G129" s="44" t="str">
        <f t="shared" si="6"/>
        <v>-</v>
      </c>
      <c r="H129" s="44" t="str">
        <f t="shared" si="6"/>
        <v>-</v>
      </c>
      <c r="I129" s="44" t="str">
        <f t="shared" si="6"/>
        <v>-</v>
      </c>
      <c r="J129" s="44" t="str">
        <f t="shared" si="6"/>
        <v>-</v>
      </c>
      <c r="K129" s="44" t="str">
        <f t="shared" si="6"/>
        <v>-</v>
      </c>
      <c r="L129" s="44" t="str">
        <f t="shared" si="6"/>
        <v>-</v>
      </c>
      <c r="M129" s="12">
        <f t="shared" si="5"/>
        <v>50000</v>
      </c>
    </row>
    <row r="130" spans="2:13" x14ac:dyDescent="0.45">
      <c r="B130" s="9">
        <v>125</v>
      </c>
      <c r="C130" s="10" t="s">
        <v>124</v>
      </c>
      <c r="D130" s="10" t="s">
        <v>313</v>
      </c>
      <c r="E130" s="39">
        <v>2</v>
      </c>
      <c r="F130" s="43" t="str">
        <f t="shared" si="6"/>
        <v>o</v>
      </c>
      <c r="G130" s="44" t="str">
        <f t="shared" si="6"/>
        <v>-</v>
      </c>
      <c r="H130" s="44" t="str">
        <f t="shared" si="6"/>
        <v>-</v>
      </c>
      <c r="I130" s="44" t="str">
        <f t="shared" si="6"/>
        <v>-</v>
      </c>
      <c r="J130" s="44" t="str">
        <f t="shared" si="6"/>
        <v>-</v>
      </c>
      <c r="K130" s="44" t="str">
        <f t="shared" si="6"/>
        <v>-</v>
      </c>
      <c r="L130" s="44" t="str">
        <f t="shared" si="6"/>
        <v>-</v>
      </c>
      <c r="M130" s="12">
        <f t="shared" si="5"/>
        <v>50000</v>
      </c>
    </row>
    <row r="131" spans="2:13" x14ac:dyDescent="0.45">
      <c r="B131" s="9">
        <v>126</v>
      </c>
      <c r="C131" s="10" t="s">
        <v>125</v>
      </c>
      <c r="D131" s="10" t="s">
        <v>314</v>
      </c>
      <c r="E131" s="39">
        <v>2</v>
      </c>
      <c r="F131" s="43" t="str">
        <f t="shared" si="6"/>
        <v>o</v>
      </c>
      <c r="G131" s="44" t="str">
        <f t="shared" si="6"/>
        <v>-</v>
      </c>
      <c r="H131" s="44" t="str">
        <f t="shared" si="6"/>
        <v>-</v>
      </c>
      <c r="I131" s="44" t="str">
        <f t="shared" si="6"/>
        <v>-</v>
      </c>
      <c r="J131" s="44" t="str">
        <f t="shared" si="6"/>
        <v>-</v>
      </c>
      <c r="K131" s="44" t="str">
        <f t="shared" si="6"/>
        <v>-</v>
      </c>
      <c r="L131" s="44" t="str">
        <f t="shared" si="6"/>
        <v>-</v>
      </c>
      <c r="M131" s="12">
        <f t="shared" si="5"/>
        <v>50000</v>
      </c>
    </row>
    <row r="132" spans="2:13" x14ac:dyDescent="0.45">
      <c r="B132" s="9">
        <v>127</v>
      </c>
      <c r="C132" s="10" t="s">
        <v>126</v>
      </c>
      <c r="D132" s="10" t="s">
        <v>315</v>
      </c>
      <c r="E132" s="39">
        <v>2</v>
      </c>
      <c r="F132" s="43" t="str">
        <f t="shared" si="6"/>
        <v>o</v>
      </c>
      <c r="G132" s="44" t="str">
        <f t="shared" si="6"/>
        <v>-</v>
      </c>
      <c r="H132" s="44" t="str">
        <f t="shared" si="6"/>
        <v>-</v>
      </c>
      <c r="I132" s="44" t="str">
        <f t="shared" si="6"/>
        <v>-</v>
      </c>
      <c r="J132" s="44" t="str">
        <f t="shared" si="6"/>
        <v>-</v>
      </c>
      <c r="K132" s="44" t="str">
        <f t="shared" si="6"/>
        <v>-</v>
      </c>
      <c r="L132" s="44" t="str">
        <f t="shared" si="6"/>
        <v>-</v>
      </c>
      <c r="M132" s="12">
        <f t="shared" si="5"/>
        <v>50000</v>
      </c>
    </row>
    <row r="133" spans="2:13" x14ac:dyDescent="0.45">
      <c r="B133" s="9">
        <v>128</v>
      </c>
      <c r="C133" s="10" t="s">
        <v>127</v>
      </c>
      <c r="D133" s="10" t="s">
        <v>316</v>
      </c>
      <c r="E133" s="39">
        <v>2</v>
      </c>
      <c r="F133" s="43" t="str">
        <f t="shared" si="6"/>
        <v>o</v>
      </c>
      <c r="G133" s="44" t="str">
        <f t="shared" si="6"/>
        <v>-</v>
      </c>
      <c r="H133" s="44" t="str">
        <f t="shared" si="6"/>
        <v>-</v>
      </c>
      <c r="I133" s="44" t="str">
        <f t="shared" si="6"/>
        <v>-</v>
      </c>
      <c r="J133" s="44" t="str">
        <f t="shared" si="6"/>
        <v>-</v>
      </c>
      <c r="K133" s="44" t="str">
        <f t="shared" si="6"/>
        <v>-</v>
      </c>
      <c r="L133" s="44" t="str">
        <f t="shared" si="6"/>
        <v>-</v>
      </c>
      <c r="M133" s="12">
        <f t="shared" si="5"/>
        <v>50000</v>
      </c>
    </row>
    <row r="134" spans="2:13" x14ac:dyDescent="0.45">
      <c r="B134" s="9">
        <v>129</v>
      </c>
      <c r="C134" s="10" t="s">
        <v>128</v>
      </c>
      <c r="D134" s="10" t="s">
        <v>317</v>
      </c>
      <c r="E134" s="39">
        <v>2</v>
      </c>
      <c r="F134" s="43" t="str">
        <f t="shared" si="6"/>
        <v>o</v>
      </c>
      <c r="G134" s="44" t="str">
        <f t="shared" si="6"/>
        <v>-</v>
      </c>
      <c r="H134" s="44" t="str">
        <f t="shared" si="6"/>
        <v>-</v>
      </c>
      <c r="I134" s="44" t="str">
        <f t="shared" si="6"/>
        <v>-</v>
      </c>
      <c r="J134" s="44" t="str">
        <f t="shared" si="6"/>
        <v>-</v>
      </c>
      <c r="K134" s="44" t="str">
        <f t="shared" si="6"/>
        <v>-</v>
      </c>
      <c r="L134" s="44" t="str">
        <f t="shared" si="6"/>
        <v>-</v>
      </c>
      <c r="M134" s="12">
        <f t="shared" si="5"/>
        <v>50000</v>
      </c>
    </row>
    <row r="135" spans="2:13" x14ac:dyDescent="0.45">
      <c r="B135" s="9">
        <v>130</v>
      </c>
      <c r="C135" s="10" t="s">
        <v>129</v>
      </c>
      <c r="D135" s="10" t="s">
        <v>318</v>
      </c>
      <c r="E135" s="39">
        <v>2</v>
      </c>
      <c r="F135" s="43" t="str">
        <f t="shared" ref="F135:L166" si="7">IF(IFERROR(VLOOKUP($E135,$O:$O,1,1),0)&gt;=F$2,"o","-")</f>
        <v>o</v>
      </c>
      <c r="G135" s="44" t="str">
        <f t="shared" si="7"/>
        <v>-</v>
      </c>
      <c r="H135" s="44" t="str">
        <f t="shared" si="7"/>
        <v>-</v>
      </c>
      <c r="I135" s="44" t="str">
        <f t="shared" si="7"/>
        <v>-</v>
      </c>
      <c r="J135" s="44" t="str">
        <f t="shared" si="7"/>
        <v>-</v>
      </c>
      <c r="K135" s="44" t="str">
        <f t="shared" si="7"/>
        <v>-</v>
      </c>
      <c r="L135" s="44" t="str">
        <f t="shared" si="7"/>
        <v>-</v>
      </c>
      <c r="M135" s="12">
        <f t="shared" ref="M135:M194" si="8">IFERROR(VLOOKUP(E135,$O:$Q,3,1),0)</f>
        <v>50000</v>
      </c>
    </row>
    <row r="136" spans="2:13" x14ac:dyDescent="0.45">
      <c r="B136" s="9">
        <v>131</v>
      </c>
      <c r="C136" s="10" t="s">
        <v>130</v>
      </c>
      <c r="D136" s="10" t="s">
        <v>319</v>
      </c>
      <c r="E136" s="39">
        <v>2</v>
      </c>
      <c r="F136" s="43" t="str">
        <f t="shared" si="7"/>
        <v>o</v>
      </c>
      <c r="G136" s="44" t="str">
        <f t="shared" si="7"/>
        <v>-</v>
      </c>
      <c r="H136" s="44" t="str">
        <f t="shared" si="7"/>
        <v>-</v>
      </c>
      <c r="I136" s="44" t="str">
        <f t="shared" si="7"/>
        <v>-</v>
      </c>
      <c r="J136" s="44" t="str">
        <f t="shared" si="7"/>
        <v>-</v>
      </c>
      <c r="K136" s="44" t="str">
        <f t="shared" si="7"/>
        <v>-</v>
      </c>
      <c r="L136" s="44" t="str">
        <f t="shared" si="7"/>
        <v>-</v>
      </c>
      <c r="M136" s="12">
        <f t="shared" si="8"/>
        <v>50000</v>
      </c>
    </row>
    <row r="137" spans="2:13" x14ac:dyDescent="0.45">
      <c r="B137" s="9">
        <v>132</v>
      </c>
      <c r="C137" s="10" t="s">
        <v>131</v>
      </c>
      <c r="D137" s="10" t="s">
        <v>320</v>
      </c>
      <c r="E137" s="39">
        <v>2</v>
      </c>
      <c r="F137" s="43" t="str">
        <f t="shared" si="7"/>
        <v>o</v>
      </c>
      <c r="G137" s="44" t="str">
        <f t="shared" si="7"/>
        <v>-</v>
      </c>
      <c r="H137" s="44" t="str">
        <f t="shared" si="7"/>
        <v>-</v>
      </c>
      <c r="I137" s="44" t="str">
        <f t="shared" si="7"/>
        <v>-</v>
      </c>
      <c r="J137" s="44" t="str">
        <f t="shared" si="7"/>
        <v>-</v>
      </c>
      <c r="K137" s="44" t="str">
        <f t="shared" si="7"/>
        <v>-</v>
      </c>
      <c r="L137" s="44" t="str">
        <f t="shared" si="7"/>
        <v>-</v>
      </c>
      <c r="M137" s="12">
        <f t="shared" si="8"/>
        <v>50000</v>
      </c>
    </row>
    <row r="138" spans="2:13" x14ac:dyDescent="0.45">
      <c r="B138" s="9">
        <v>133</v>
      </c>
      <c r="C138" s="10" t="s">
        <v>132</v>
      </c>
      <c r="D138" s="10" t="s">
        <v>321</v>
      </c>
      <c r="E138" s="39">
        <v>2</v>
      </c>
      <c r="F138" s="43" t="str">
        <f t="shared" si="7"/>
        <v>o</v>
      </c>
      <c r="G138" s="44" t="str">
        <f t="shared" si="7"/>
        <v>-</v>
      </c>
      <c r="H138" s="44" t="str">
        <f t="shared" si="7"/>
        <v>-</v>
      </c>
      <c r="I138" s="44" t="str">
        <f t="shared" si="7"/>
        <v>-</v>
      </c>
      <c r="J138" s="44" t="str">
        <f t="shared" si="7"/>
        <v>-</v>
      </c>
      <c r="K138" s="44" t="str">
        <f t="shared" si="7"/>
        <v>-</v>
      </c>
      <c r="L138" s="44" t="str">
        <f t="shared" si="7"/>
        <v>-</v>
      </c>
      <c r="M138" s="12">
        <f t="shared" si="8"/>
        <v>50000</v>
      </c>
    </row>
    <row r="139" spans="2:13" x14ac:dyDescent="0.45">
      <c r="B139" s="9">
        <v>134</v>
      </c>
      <c r="C139" s="10" t="s">
        <v>133</v>
      </c>
      <c r="D139" s="10" t="s">
        <v>322</v>
      </c>
      <c r="E139" s="39">
        <v>2</v>
      </c>
      <c r="F139" s="43" t="str">
        <f t="shared" si="7"/>
        <v>o</v>
      </c>
      <c r="G139" s="44" t="str">
        <f t="shared" si="7"/>
        <v>-</v>
      </c>
      <c r="H139" s="44" t="str">
        <f t="shared" si="7"/>
        <v>-</v>
      </c>
      <c r="I139" s="44" t="str">
        <f t="shared" si="7"/>
        <v>-</v>
      </c>
      <c r="J139" s="44" t="str">
        <f t="shared" si="7"/>
        <v>-</v>
      </c>
      <c r="K139" s="44" t="str">
        <f t="shared" si="7"/>
        <v>-</v>
      </c>
      <c r="L139" s="44" t="str">
        <f t="shared" si="7"/>
        <v>-</v>
      </c>
      <c r="M139" s="12">
        <f t="shared" si="8"/>
        <v>50000</v>
      </c>
    </row>
    <row r="140" spans="2:13" x14ac:dyDescent="0.45">
      <c r="B140" s="9">
        <v>135</v>
      </c>
      <c r="C140" s="10" t="s">
        <v>134</v>
      </c>
      <c r="D140" s="10" t="s">
        <v>323</v>
      </c>
      <c r="E140" s="39">
        <v>2</v>
      </c>
      <c r="F140" s="43" t="str">
        <f t="shared" si="7"/>
        <v>o</v>
      </c>
      <c r="G140" s="44" t="str">
        <f t="shared" si="7"/>
        <v>-</v>
      </c>
      <c r="H140" s="44" t="str">
        <f t="shared" si="7"/>
        <v>-</v>
      </c>
      <c r="I140" s="44" t="str">
        <f t="shared" si="7"/>
        <v>-</v>
      </c>
      <c r="J140" s="44" t="str">
        <f t="shared" si="7"/>
        <v>-</v>
      </c>
      <c r="K140" s="44" t="str">
        <f t="shared" si="7"/>
        <v>-</v>
      </c>
      <c r="L140" s="44" t="str">
        <f t="shared" si="7"/>
        <v>-</v>
      </c>
      <c r="M140" s="12">
        <f t="shared" si="8"/>
        <v>50000</v>
      </c>
    </row>
    <row r="141" spans="2:13" x14ac:dyDescent="0.45">
      <c r="B141" s="9">
        <v>136</v>
      </c>
      <c r="C141" s="10" t="s">
        <v>135</v>
      </c>
      <c r="D141" s="10" t="s">
        <v>324</v>
      </c>
      <c r="E141" s="39">
        <v>2</v>
      </c>
      <c r="F141" s="43" t="str">
        <f t="shared" si="7"/>
        <v>o</v>
      </c>
      <c r="G141" s="44" t="str">
        <f t="shared" si="7"/>
        <v>-</v>
      </c>
      <c r="H141" s="44" t="str">
        <f t="shared" si="7"/>
        <v>-</v>
      </c>
      <c r="I141" s="44" t="str">
        <f t="shared" si="7"/>
        <v>-</v>
      </c>
      <c r="J141" s="44" t="str">
        <f t="shared" si="7"/>
        <v>-</v>
      </c>
      <c r="K141" s="44" t="str">
        <f t="shared" si="7"/>
        <v>-</v>
      </c>
      <c r="L141" s="44" t="str">
        <f t="shared" si="7"/>
        <v>-</v>
      </c>
      <c r="M141" s="12">
        <f t="shared" si="8"/>
        <v>50000</v>
      </c>
    </row>
    <row r="142" spans="2:13" x14ac:dyDescent="0.45">
      <c r="B142" s="9">
        <v>137</v>
      </c>
      <c r="C142" s="10" t="s">
        <v>136</v>
      </c>
      <c r="D142" s="10" t="s">
        <v>325</v>
      </c>
      <c r="E142" s="39">
        <v>2</v>
      </c>
      <c r="F142" s="43" t="str">
        <f t="shared" si="7"/>
        <v>o</v>
      </c>
      <c r="G142" s="44" t="str">
        <f t="shared" si="7"/>
        <v>-</v>
      </c>
      <c r="H142" s="44" t="str">
        <f t="shared" si="7"/>
        <v>-</v>
      </c>
      <c r="I142" s="44" t="str">
        <f t="shared" si="7"/>
        <v>-</v>
      </c>
      <c r="J142" s="44" t="str">
        <f t="shared" si="7"/>
        <v>-</v>
      </c>
      <c r="K142" s="44" t="str">
        <f t="shared" si="7"/>
        <v>-</v>
      </c>
      <c r="L142" s="44" t="str">
        <f t="shared" si="7"/>
        <v>-</v>
      </c>
      <c r="M142" s="12">
        <f t="shared" si="8"/>
        <v>50000</v>
      </c>
    </row>
    <row r="143" spans="2:13" x14ac:dyDescent="0.45">
      <c r="B143" s="9">
        <v>138</v>
      </c>
      <c r="C143" s="10" t="s">
        <v>137</v>
      </c>
      <c r="D143" s="10" t="s">
        <v>326</v>
      </c>
      <c r="E143" s="39">
        <v>2</v>
      </c>
      <c r="F143" s="43" t="str">
        <f t="shared" si="7"/>
        <v>o</v>
      </c>
      <c r="G143" s="44" t="str">
        <f t="shared" si="7"/>
        <v>-</v>
      </c>
      <c r="H143" s="44" t="str">
        <f t="shared" si="7"/>
        <v>-</v>
      </c>
      <c r="I143" s="44" t="str">
        <f t="shared" si="7"/>
        <v>-</v>
      </c>
      <c r="J143" s="44" t="str">
        <f t="shared" si="7"/>
        <v>-</v>
      </c>
      <c r="K143" s="44" t="str">
        <f t="shared" si="7"/>
        <v>-</v>
      </c>
      <c r="L143" s="44" t="str">
        <f t="shared" si="7"/>
        <v>-</v>
      </c>
      <c r="M143" s="12">
        <f t="shared" si="8"/>
        <v>50000</v>
      </c>
    </row>
    <row r="144" spans="2:13" x14ac:dyDescent="0.45">
      <c r="B144" s="9">
        <v>139</v>
      </c>
      <c r="C144" s="10" t="s">
        <v>138</v>
      </c>
      <c r="D144" s="10" t="s">
        <v>327</v>
      </c>
      <c r="E144" s="39">
        <v>2</v>
      </c>
      <c r="F144" s="43" t="str">
        <f t="shared" si="7"/>
        <v>o</v>
      </c>
      <c r="G144" s="44" t="str">
        <f t="shared" si="7"/>
        <v>-</v>
      </c>
      <c r="H144" s="44" t="str">
        <f t="shared" si="7"/>
        <v>-</v>
      </c>
      <c r="I144" s="44" t="str">
        <f t="shared" si="7"/>
        <v>-</v>
      </c>
      <c r="J144" s="44" t="str">
        <f t="shared" si="7"/>
        <v>-</v>
      </c>
      <c r="K144" s="44" t="str">
        <f t="shared" si="7"/>
        <v>-</v>
      </c>
      <c r="L144" s="44" t="str">
        <f t="shared" si="7"/>
        <v>-</v>
      </c>
      <c r="M144" s="12">
        <f t="shared" si="8"/>
        <v>50000</v>
      </c>
    </row>
    <row r="145" spans="2:13" x14ac:dyDescent="0.45">
      <c r="B145" s="9">
        <v>140</v>
      </c>
      <c r="C145" s="10" t="s">
        <v>139</v>
      </c>
      <c r="D145" s="10" t="s">
        <v>328</v>
      </c>
      <c r="E145" s="39">
        <v>2</v>
      </c>
      <c r="F145" s="43" t="str">
        <f t="shared" si="7"/>
        <v>o</v>
      </c>
      <c r="G145" s="44" t="str">
        <f t="shared" si="7"/>
        <v>-</v>
      </c>
      <c r="H145" s="44" t="str">
        <f t="shared" si="7"/>
        <v>-</v>
      </c>
      <c r="I145" s="44" t="str">
        <f t="shared" si="7"/>
        <v>-</v>
      </c>
      <c r="J145" s="44" t="str">
        <f t="shared" si="7"/>
        <v>-</v>
      </c>
      <c r="K145" s="44" t="str">
        <f t="shared" si="7"/>
        <v>-</v>
      </c>
      <c r="L145" s="44" t="str">
        <f t="shared" si="7"/>
        <v>-</v>
      </c>
      <c r="M145" s="12">
        <f t="shared" si="8"/>
        <v>50000</v>
      </c>
    </row>
    <row r="146" spans="2:13" x14ac:dyDescent="0.45">
      <c r="B146" s="9">
        <v>141</v>
      </c>
      <c r="C146" s="10" t="s">
        <v>140</v>
      </c>
      <c r="D146" s="10" t="s">
        <v>329</v>
      </c>
      <c r="E146" s="39">
        <v>2</v>
      </c>
      <c r="F146" s="43" t="str">
        <f t="shared" si="7"/>
        <v>o</v>
      </c>
      <c r="G146" s="44" t="str">
        <f t="shared" si="7"/>
        <v>-</v>
      </c>
      <c r="H146" s="44" t="str">
        <f t="shared" si="7"/>
        <v>-</v>
      </c>
      <c r="I146" s="44" t="str">
        <f t="shared" si="7"/>
        <v>-</v>
      </c>
      <c r="J146" s="44" t="str">
        <f t="shared" si="7"/>
        <v>-</v>
      </c>
      <c r="K146" s="44" t="str">
        <f t="shared" si="7"/>
        <v>-</v>
      </c>
      <c r="L146" s="44" t="str">
        <f t="shared" si="7"/>
        <v>-</v>
      </c>
      <c r="M146" s="12">
        <f t="shared" si="8"/>
        <v>50000</v>
      </c>
    </row>
    <row r="147" spans="2:13" x14ac:dyDescent="0.45">
      <c r="B147" s="9">
        <v>142</v>
      </c>
      <c r="C147" s="10" t="s">
        <v>141</v>
      </c>
      <c r="D147" s="10" t="s">
        <v>330</v>
      </c>
      <c r="E147" s="39">
        <v>2</v>
      </c>
      <c r="F147" s="43" t="str">
        <f t="shared" si="7"/>
        <v>o</v>
      </c>
      <c r="G147" s="44" t="str">
        <f t="shared" si="7"/>
        <v>-</v>
      </c>
      <c r="H147" s="44" t="str">
        <f t="shared" si="7"/>
        <v>-</v>
      </c>
      <c r="I147" s="44" t="str">
        <f t="shared" si="7"/>
        <v>-</v>
      </c>
      <c r="J147" s="44" t="str">
        <f t="shared" si="7"/>
        <v>-</v>
      </c>
      <c r="K147" s="44" t="str">
        <f t="shared" si="7"/>
        <v>-</v>
      </c>
      <c r="L147" s="44" t="str">
        <f t="shared" si="7"/>
        <v>-</v>
      </c>
      <c r="M147" s="12">
        <f t="shared" si="8"/>
        <v>50000</v>
      </c>
    </row>
    <row r="148" spans="2:13" x14ac:dyDescent="0.45">
      <c r="B148" s="9">
        <v>143</v>
      </c>
      <c r="C148" s="10" t="s">
        <v>142</v>
      </c>
      <c r="D148" s="10" t="s">
        <v>331</v>
      </c>
      <c r="E148" s="39">
        <v>2</v>
      </c>
      <c r="F148" s="43" t="str">
        <f t="shared" si="7"/>
        <v>o</v>
      </c>
      <c r="G148" s="44" t="str">
        <f t="shared" si="7"/>
        <v>-</v>
      </c>
      <c r="H148" s="44" t="str">
        <f t="shared" si="7"/>
        <v>-</v>
      </c>
      <c r="I148" s="44" t="str">
        <f t="shared" si="7"/>
        <v>-</v>
      </c>
      <c r="J148" s="44" t="str">
        <f t="shared" si="7"/>
        <v>-</v>
      </c>
      <c r="K148" s="44" t="str">
        <f t="shared" si="7"/>
        <v>-</v>
      </c>
      <c r="L148" s="44" t="str">
        <f t="shared" si="7"/>
        <v>-</v>
      </c>
      <c r="M148" s="12">
        <f t="shared" si="8"/>
        <v>50000</v>
      </c>
    </row>
    <row r="149" spans="2:13" x14ac:dyDescent="0.45">
      <c r="B149" s="9">
        <v>144</v>
      </c>
      <c r="C149" s="10" t="s">
        <v>143</v>
      </c>
      <c r="D149" s="10" t="s">
        <v>332</v>
      </c>
      <c r="E149" s="39">
        <v>2</v>
      </c>
      <c r="F149" s="43" t="str">
        <f t="shared" si="7"/>
        <v>o</v>
      </c>
      <c r="G149" s="44" t="str">
        <f t="shared" si="7"/>
        <v>-</v>
      </c>
      <c r="H149" s="44" t="str">
        <f t="shared" si="7"/>
        <v>-</v>
      </c>
      <c r="I149" s="44" t="str">
        <f t="shared" si="7"/>
        <v>-</v>
      </c>
      <c r="J149" s="44" t="str">
        <f t="shared" si="7"/>
        <v>-</v>
      </c>
      <c r="K149" s="44" t="str">
        <f t="shared" si="7"/>
        <v>-</v>
      </c>
      <c r="L149" s="44" t="str">
        <f t="shared" si="7"/>
        <v>-</v>
      </c>
      <c r="M149" s="12">
        <f t="shared" si="8"/>
        <v>50000</v>
      </c>
    </row>
    <row r="150" spans="2:13" x14ac:dyDescent="0.45">
      <c r="B150" s="9">
        <v>145</v>
      </c>
      <c r="C150" s="10" t="s">
        <v>144</v>
      </c>
      <c r="D150" s="10" t="s">
        <v>333</v>
      </c>
      <c r="E150" s="39">
        <v>2</v>
      </c>
      <c r="F150" s="43" t="str">
        <f t="shared" si="7"/>
        <v>o</v>
      </c>
      <c r="G150" s="44" t="str">
        <f t="shared" si="7"/>
        <v>-</v>
      </c>
      <c r="H150" s="44" t="str">
        <f t="shared" si="7"/>
        <v>-</v>
      </c>
      <c r="I150" s="44" t="str">
        <f t="shared" si="7"/>
        <v>-</v>
      </c>
      <c r="J150" s="44" t="str">
        <f t="shared" si="7"/>
        <v>-</v>
      </c>
      <c r="K150" s="44" t="str">
        <f t="shared" si="7"/>
        <v>-</v>
      </c>
      <c r="L150" s="44" t="str">
        <f t="shared" si="7"/>
        <v>-</v>
      </c>
      <c r="M150" s="12">
        <f t="shared" si="8"/>
        <v>50000</v>
      </c>
    </row>
    <row r="151" spans="2:13" x14ac:dyDescent="0.45">
      <c r="B151" s="9">
        <v>146</v>
      </c>
      <c r="C151" s="10" t="s">
        <v>145</v>
      </c>
      <c r="D151" s="10" t="s">
        <v>334</v>
      </c>
      <c r="E151" s="39">
        <v>2</v>
      </c>
      <c r="F151" s="43" t="str">
        <f t="shared" si="7"/>
        <v>o</v>
      </c>
      <c r="G151" s="44" t="str">
        <f t="shared" si="7"/>
        <v>-</v>
      </c>
      <c r="H151" s="44" t="str">
        <f t="shared" si="7"/>
        <v>-</v>
      </c>
      <c r="I151" s="44" t="str">
        <f t="shared" si="7"/>
        <v>-</v>
      </c>
      <c r="J151" s="44" t="str">
        <f t="shared" si="7"/>
        <v>-</v>
      </c>
      <c r="K151" s="44" t="str">
        <f t="shared" si="7"/>
        <v>-</v>
      </c>
      <c r="L151" s="44" t="str">
        <f t="shared" si="7"/>
        <v>-</v>
      </c>
      <c r="M151" s="12">
        <f t="shared" si="8"/>
        <v>50000</v>
      </c>
    </row>
    <row r="152" spans="2:13" x14ac:dyDescent="0.45">
      <c r="B152" s="9">
        <v>147</v>
      </c>
      <c r="C152" s="10" t="s">
        <v>146</v>
      </c>
      <c r="D152" s="10" t="s">
        <v>335</v>
      </c>
      <c r="E152" s="39">
        <v>2</v>
      </c>
      <c r="F152" s="43" t="str">
        <f t="shared" si="7"/>
        <v>o</v>
      </c>
      <c r="G152" s="44" t="str">
        <f t="shared" si="7"/>
        <v>-</v>
      </c>
      <c r="H152" s="44" t="str">
        <f t="shared" si="7"/>
        <v>-</v>
      </c>
      <c r="I152" s="44" t="str">
        <f t="shared" si="7"/>
        <v>-</v>
      </c>
      <c r="J152" s="44" t="str">
        <f t="shared" si="7"/>
        <v>-</v>
      </c>
      <c r="K152" s="44" t="str">
        <f t="shared" si="7"/>
        <v>-</v>
      </c>
      <c r="L152" s="44" t="str">
        <f t="shared" si="7"/>
        <v>-</v>
      </c>
      <c r="M152" s="12">
        <f t="shared" si="8"/>
        <v>50000</v>
      </c>
    </row>
    <row r="153" spans="2:13" x14ac:dyDescent="0.45">
      <c r="B153" s="9">
        <v>148</v>
      </c>
      <c r="C153" s="10" t="s">
        <v>147</v>
      </c>
      <c r="D153" s="10" t="s">
        <v>336</v>
      </c>
      <c r="E153" s="39">
        <v>2</v>
      </c>
      <c r="F153" s="43" t="str">
        <f t="shared" si="7"/>
        <v>o</v>
      </c>
      <c r="G153" s="44" t="str">
        <f t="shared" si="7"/>
        <v>-</v>
      </c>
      <c r="H153" s="44" t="str">
        <f t="shared" si="7"/>
        <v>-</v>
      </c>
      <c r="I153" s="44" t="str">
        <f t="shared" si="7"/>
        <v>-</v>
      </c>
      <c r="J153" s="44" t="str">
        <f t="shared" si="7"/>
        <v>-</v>
      </c>
      <c r="K153" s="44" t="str">
        <f t="shared" si="7"/>
        <v>-</v>
      </c>
      <c r="L153" s="44" t="str">
        <f t="shared" si="7"/>
        <v>-</v>
      </c>
      <c r="M153" s="12">
        <f t="shared" si="8"/>
        <v>50000</v>
      </c>
    </row>
    <row r="154" spans="2:13" x14ac:dyDescent="0.45">
      <c r="B154" s="9">
        <v>149</v>
      </c>
      <c r="C154" s="10" t="s">
        <v>148</v>
      </c>
      <c r="D154" s="10" t="s">
        <v>337</v>
      </c>
      <c r="E154" s="39">
        <v>2</v>
      </c>
      <c r="F154" s="43" t="str">
        <f t="shared" si="7"/>
        <v>o</v>
      </c>
      <c r="G154" s="44" t="str">
        <f t="shared" si="7"/>
        <v>-</v>
      </c>
      <c r="H154" s="44" t="str">
        <f t="shared" si="7"/>
        <v>-</v>
      </c>
      <c r="I154" s="44" t="str">
        <f t="shared" si="7"/>
        <v>-</v>
      </c>
      <c r="J154" s="44" t="str">
        <f t="shared" si="7"/>
        <v>-</v>
      </c>
      <c r="K154" s="44" t="str">
        <f t="shared" si="7"/>
        <v>-</v>
      </c>
      <c r="L154" s="44" t="str">
        <f t="shared" si="7"/>
        <v>-</v>
      </c>
      <c r="M154" s="12">
        <f t="shared" si="8"/>
        <v>50000</v>
      </c>
    </row>
    <row r="155" spans="2:13" x14ac:dyDescent="0.45">
      <c r="B155" s="9">
        <v>150</v>
      </c>
      <c r="C155" s="10" t="s">
        <v>149</v>
      </c>
      <c r="D155" s="10" t="s">
        <v>338</v>
      </c>
      <c r="E155" s="39">
        <v>2</v>
      </c>
      <c r="F155" s="43" t="str">
        <f t="shared" si="7"/>
        <v>o</v>
      </c>
      <c r="G155" s="44" t="str">
        <f t="shared" si="7"/>
        <v>-</v>
      </c>
      <c r="H155" s="44" t="str">
        <f t="shared" si="7"/>
        <v>-</v>
      </c>
      <c r="I155" s="44" t="str">
        <f t="shared" si="7"/>
        <v>-</v>
      </c>
      <c r="J155" s="44" t="str">
        <f t="shared" si="7"/>
        <v>-</v>
      </c>
      <c r="K155" s="44" t="str">
        <f t="shared" si="7"/>
        <v>-</v>
      </c>
      <c r="L155" s="44" t="str">
        <f t="shared" si="7"/>
        <v>-</v>
      </c>
      <c r="M155" s="12">
        <f t="shared" si="8"/>
        <v>50000</v>
      </c>
    </row>
    <row r="156" spans="2:13" x14ac:dyDescent="0.45">
      <c r="B156" s="9">
        <v>151</v>
      </c>
      <c r="C156" s="10" t="s">
        <v>150</v>
      </c>
      <c r="D156" s="10" t="s">
        <v>339</v>
      </c>
      <c r="E156" s="39">
        <v>2</v>
      </c>
      <c r="F156" s="43" t="str">
        <f t="shared" si="7"/>
        <v>o</v>
      </c>
      <c r="G156" s="44" t="str">
        <f t="shared" si="7"/>
        <v>-</v>
      </c>
      <c r="H156" s="44" t="str">
        <f t="shared" si="7"/>
        <v>-</v>
      </c>
      <c r="I156" s="44" t="str">
        <f t="shared" si="7"/>
        <v>-</v>
      </c>
      <c r="J156" s="44" t="str">
        <f t="shared" si="7"/>
        <v>-</v>
      </c>
      <c r="K156" s="44" t="str">
        <f t="shared" si="7"/>
        <v>-</v>
      </c>
      <c r="L156" s="44" t="str">
        <f t="shared" si="7"/>
        <v>-</v>
      </c>
      <c r="M156" s="12">
        <f t="shared" si="8"/>
        <v>50000</v>
      </c>
    </row>
    <row r="157" spans="2:13" x14ac:dyDescent="0.45">
      <c r="B157" s="9">
        <v>152</v>
      </c>
      <c r="C157" s="10" t="s">
        <v>151</v>
      </c>
      <c r="D157" s="10" t="s">
        <v>340</v>
      </c>
      <c r="E157" s="39">
        <v>2</v>
      </c>
      <c r="F157" s="43" t="str">
        <f t="shared" si="7"/>
        <v>o</v>
      </c>
      <c r="G157" s="44" t="str">
        <f t="shared" si="7"/>
        <v>-</v>
      </c>
      <c r="H157" s="44" t="str">
        <f t="shared" si="7"/>
        <v>-</v>
      </c>
      <c r="I157" s="44" t="str">
        <f t="shared" si="7"/>
        <v>-</v>
      </c>
      <c r="J157" s="44" t="str">
        <f t="shared" si="7"/>
        <v>-</v>
      </c>
      <c r="K157" s="44" t="str">
        <f t="shared" si="7"/>
        <v>-</v>
      </c>
      <c r="L157" s="44" t="str">
        <f t="shared" si="7"/>
        <v>-</v>
      </c>
      <c r="M157" s="12">
        <f t="shared" si="8"/>
        <v>50000</v>
      </c>
    </row>
    <row r="158" spans="2:13" x14ac:dyDescent="0.45">
      <c r="B158" s="9">
        <v>153</v>
      </c>
      <c r="C158" s="10" t="s">
        <v>152</v>
      </c>
      <c r="D158" s="10" t="s">
        <v>341</v>
      </c>
      <c r="E158" s="39">
        <v>2</v>
      </c>
      <c r="F158" s="43" t="str">
        <f t="shared" si="7"/>
        <v>o</v>
      </c>
      <c r="G158" s="44" t="str">
        <f t="shared" si="7"/>
        <v>-</v>
      </c>
      <c r="H158" s="44" t="str">
        <f t="shared" si="7"/>
        <v>-</v>
      </c>
      <c r="I158" s="44" t="str">
        <f t="shared" si="7"/>
        <v>-</v>
      </c>
      <c r="J158" s="44" t="str">
        <f t="shared" si="7"/>
        <v>-</v>
      </c>
      <c r="K158" s="44" t="str">
        <f t="shared" si="7"/>
        <v>-</v>
      </c>
      <c r="L158" s="44" t="str">
        <f t="shared" si="7"/>
        <v>-</v>
      </c>
      <c r="M158" s="12">
        <f t="shared" si="8"/>
        <v>50000</v>
      </c>
    </row>
    <row r="159" spans="2:13" x14ac:dyDescent="0.45">
      <c r="B159" s="9">
        <v>154</v>
      </c>
      <c r="C159" s="10" t="s">
        <v>153</v>
      </c>
      <c r="D159" s="10" t="s">
        <v>342</v>
      </c>
      <c r="E159" s="39">
        <v>2</v>
      </c>
      <c r="F159" s="43" t="str">
        <f t="shared" si="7"/>
        <v>o</v>
      </c>
      <c r="G159" s="44" t="str">
        <f t="shared" si="7"/>
        <v>-</v>
      </c>
      <c r="H159" s="44" t="str">
        <f t="shared" si="7"/>
        <v>-</v>
      </c>
      <c r="I159" s="44" t="str">
        <f t="shared" si="7"/>
        <v>-</v>
      </c>
      <c r="J159" s="44" t="str">
        <f t="shared" si="7"/>
        <v>-</v>
      </c>
      <c r="K159" s="44" t="str">
        <f t="shared" si="7"/>
        <v>-</v>
      </c>
      <c r="L159" s="44" t="str">
        <f t="shared" si="7"/>
        <v>-</v>
      </c>
      <c r="M159" s="12">
        <f t="shared" si="8"/>
        <v>50000</v>
      </c>
    </row>
    <row r="160" spans="2:13" x14ac:dyDescent="0.45">
      <c r="B160" s="9">
        <v>155</v>
      </c>
      <c r="C160" s="10" t="s">
        <v>154</v>
      </c>
      <c r="D160" s="10" t="s">
        <v>343</v>
      </c>
      <c r="E160" s="39">
        <v>2</v>
      </c>
      <c r="F160" s="43" t="str">
        <f t="shared" si="7"/>
        <v>o</v>
      </c>
      <c r="G160" s="44" t="str">
        <f t="shared" si="7"/>
        <v>-</v>
      </c>
      <c r="H160" s="44" t="str">
        <f t="shared" si="7"/>
        <v>-</v>
      </c>
      <c r="I160" s="44" t="str">
        <f t="shared" si="7"/>
        <v>-</v>
      </c>
      <c r="J160" s="44" t="str">
        <f t="shared" si="7"/>
        <v>-</v>
      </c>
      <c r="K160" s="44" t="str">
        <f t="shared" si="7"/>
        <v>-</v>
      </c>
      <c r="L160" s="44" t="str">
        <f t="shared" si="7"/>
        <v>-</v>
      </c>
      <c r="M160" s="12">
        <f t="shared" si="8"/>
        <v>50000</v>
      </c>
    </row>
    <row r="161" spans="2:13" x14ac:dyDescent="0.45">
      <c r="B161" s="9">
        <v>156</v>
      </c>
      <c r="C161" s="10" t="s">
        <v>155</v>
      </c>
      <c r="D161" s="10" t="s">
        <v>344</v>
      </c>
      <c r="E161" s="39">
        <v>2</v>
      </c>
      <c r="F161" s="43" t="str">
        <f t="shared" si="7"/>
        <v>o</v>
      </c>
      <c r="G161" s="44" t="str">
        <f t="shared" si="7"/>
        <v>-</v>
      </c>
      <c r="H161" s="44" t="str">
        <f t="shared" si="7"/>
        <v>-</v>
      </c>
      <c r="I161" s="44" t="str">
        <f t="shared" si="7"/>
        <v>-</v>
      </c>
      <c r="J161" s="44" t="str">
        <f t="shared" si="7"/>
        <v>-</v>
      </c>
      <c r="K161" s="44" t="str">
        <f t="shared" si="7"/>
        <v>-</v>
      </c>
      <c r="L161" s="44" t="str">
        <f t="shared" si="7"/>
        <v>-</v>
      </c>
      <c r="M161" s="12">
        <f t="shared" si="8"/>
        <v>50000</v>
      </c>
    </row>
    <row r="162" spans="2:13" x14ac:dyDescent="0.45">
      <c r="B162" s="9">
        <v>157</v>
      </c>
      <c r="C162" s="10" t="s">
        <v>156</v>
      </c>
      <c r="D162" s="10" t="s">
        <v>345</v>
      </c>
      <c r="E162" s="39">
        <v>2</v>
      </c>
      <c r="F162" s="43" t="str">
        <f t="shared" si="7"/>
        <v>o</v>
      </c>
      <c r="G162" s="44" t="str">
        <f t="shared" si="7"/>
        <v>-</v>
      </c>
      <c r="H162" s="44" t="str">
        <f t="shared" si="7"/>
        <v>-</v>
      </c>
      <c r="I162" s="44" t="str">
        <f t="shared" si="7"/>
        <v>-</v>
      </c>
      <c r="J162" s="44" t="str">
        <f t="shared" si="7"/>
        <v>-</v>
      </c>
      <c r="K162" s="44" t="str">
        <f t="shared" si="7"/>
        <v>-</v>
      </c>
      <c r="L162" s="44" t="str">
        <f t="shared" si="7"/>
        <v>-</v>
      </c>
      <c r="M162" s="12">
        <f t="shared" si="8"/>
        <v>50000</v>
      </c>
    </row>
    <row r="163" spans="2:13" x14ac:dyDescent="0.45">
      <c r="B163" s="9">
        <v>158</v>
      </c>
      <c r="C163" s="10" t="s">
        <v>157</v>
      </c>
      <c r="D163" s="10" t="s">
        <v>346</v>
      </c>
      <c r="E163" s="39">
        <v>2</v>
      </c>
      <c r="F163" s="43" t="str">
        <f t="shared" si="7"/>
        <v>o</v>
      </c>
      <c r="G163" s="44" t="str">
        <f t="shared" si="7"/>
        <v>-</v>
      </c>
      <c r="H163" s="44" t="str">
        <f t="shared" si="7"/>
        <v>-</v>
      </c>
      <c r="I163" s="44" t="str">
        <f t="shared" si="7"/>
        <v>-</v>
      </c>
      <c r="J163" s="44" t="str">
        <f t="shared" si="7"/>
        <v>-</v>
      </c>
      <c r="K163" s="44" t="str">
        <f t="shared" si="7"/>
        <v>-</v>
      </c>
      <c r="L163" s="44" t="str">
        <f t="shared" si="7"/>
        <v>-</v>
      </c>
      <c r="M163" s="12">
        <f t="shared" si="8"/>
        <v>50000</v>
      </c>
    </row>
    <row r="164" spans="2:13" x14ac:dyDescent="0.45">
      <c r="B164" s="9">
        <v>159</v>
      </c>
      <c r="C164" s="10" t="s">
        <v>158</v>
      </c>
      <c r="D164" s="10" t="s">
        <v>347</v>
      </c>
      <c r="E164" s="39">
        <v>2</v>
      </c>
      <c r="F164" s="43" t="str">
        <f t="shared" si="7"/>
        <v>o</v>
      </c>
      <c r="G164" s="44" t="str">
        <f t="shared" si="7"/>
        <v>-</v>
      </c>
      <c r="H164" s="44" t="str">
        <f t="shared" si="7"/>
        <v>-</v>
      </c>
      <c r="I164" s="44" t="str">
        <f t="shared" si="7"/>
        <v>-</v>
      </c>
      <c r="J164" s="44" t="str">
        <f t="shared" si="7"/>
        <v>-</v>
      </c>
      <c r="K164" s="44" t="str">
        <f t="shared" si="7"/>
        <v>-</v>
      </c>
      <c r="L164" s="44" t="str">
        <f t="shared" si="7"/>
        <v>-</v>
      </c>
      <c r="M164" s="12">
        <f t="shared" si="8"/>
        <v>50000</v>
      </c>
    </row>
    <row r="165" spans="2:13" x14ac:dyDescent="0.45">
      <c r="B165" s="9">
        <v>160</v>
      </c>
      <c r="C165" s="10" t="s">
        <v>159</v>
      </c>
      <c r="D165" s="10" t="s">
        <v>348</v>
      </c>
      <c r="E165" s="39">
        <v>2</v>
      </c>
      <c r="F165" s="43" t="str">
        <f t="shared" si="7"/>
        <v>o</v>
      </c>
      <c r="G165" s="44" t="str">
        <f t="shared" si="7"/>
        <v>-</v>
      </c>
      <c r="H165" s="44" t="str">
        <f t="shared" si="7"/>
        <v>-</v>
      </c>
      <c r="I165" s="44" t="str">
        <f t="shared" si="7"/>
        <v>-</v>
      </c>
      <c r="J165" s="44" t="str">
        <f t="shared" si="7"/>
        <v>-</v>
      </c>
      <c r="K165" s="44" t="str">
        <f t="shared" si="7"/>
        <v>-</v>
      </c>
      <c r="L165" s="44" t="str">
        <f t="shared" si="7"/>
        <v>-</v>
      </c>
      <c r="M165" s="12">
        <f t="shared" si="8"/>
        <v>50000</v>
      </c>
    </row>
    <row r="166" spans="2:13" x14ac:dyDescent="0.45">
      <c r="B166" s="9">
        <v>161</v>
      </c>
      <c r="C166" s="10" t="s">
        <v>160</v>
      </c>
      <c r="D166" s="10" t="s">
        <v>349</v>
      </c>
      <c r="E166" s="39">
        <v>2</v>
      </c>
      <c r="F166" s="43" t="str">
        <f t="shared" si="7"/>
        <v>o</v>
      </c>
      <c r="G166" s="44" t="str">
        <f t="shared" si="7"/>
        <v>-</v>
      </c>
      <c r="H166" s="44" t="str">
        <f t="shared" si="7"/>
        <v>-</v>
      </c>
      <c r="I166" s="44" t="str">
        <f t="shared" si="7"/>
        <v>-</v>
      </c>
      <c r="J166" s="44" t="str">
        <f t="shared" si="7"/>
        <v>-</v>
      </c>
      <c r="K166" s="44" t="str">
        <f t="shared" si="7"/>
        <v>-</v>
      </c>
      <c r="L166" s="44" t="str">
        <f t="shared" si="7"/>
        <v>-</v>
      </c>
      <c r="M166" s="12">
        <f t="shared" si="8"/>
        <v>50000</v>
      </c>
    </row>
    <row r="167" spans="2:13" x14ac:dyDescent="0.45">
      <c r="B167" s="9">
        <v>162</v>
      </c>
      <c r="C167" s="10" t="s">
        <v>161</v>
      </c>
      <c r="D167" s="10" t="s">
        <v>350</v>
      </c>
      <c r="E167" s="39">
        <v>2</v>
      </c>
      <c r="F167" s="43" t="str">
        <f t="shared" ref="F167:L194" si="9">IF(IFERROR(VLOOKUP($E167,$O:$O,1,1),0)&gt;=F$2,"o","-")</f>
        <v>o</v>
      </c>
      <c r="G167" s="44" t="str">
        <f t="shared" si="9"/>
        <v>-</v>
      </c>
      <c r="H167" s="44" t="str">
        <f t="shared" si="9"/>
        <v>-</v>
      </c>
      <c r="I167" s="44" t="str">
        <f t="shared" si="9"/>
        <v>-</v>
      </c>
      <c r="J167" s="44" t="str">
        <f t="shared" si="9"/>
        <v>-</v>
      </c>
      <c r="K167" s="44" t="str">
        <f t="shared" si="9"/>
        <v>-</v>
      </c>
      <c r="L167" s="44" t="str">
        <f t="shared" si="9"/>
        <v>-</v>
      </c>
      <c r="M167" s="12">
        <f t="shared" si="8"/>
        <v>50000</v>
      </c>
    </row>
    <row r="168" spans="2:13" x14ac:dyDescent="0.45">
      <c r="B168" s="9">
        <v>163</v>
      </c>
      <c r="C168" s="10" t="s">
        <v>162</v>
      </c>
      <c r="D168" s="10" t="s">
        <v>351</v>
      </c>
      <c r="E168" s="39">
        <v>2</v>
      </c>
      <c r="F168" s="43" t="str">
        <f t="shared" si="9"/>
        <v>o</v>
      </c>
      <c r="G168" s="44" t="str">
        <f t="shared" si="9"/>
        <v>-</v>
      </c>
      <c r="H168" s="44" t="str">
        <f t="shared" si="9"/>
        <v>-</v>
      </c>
      <c r="I168" s="44" t="str">
        <f t="shared" si="9"/>
        <v>-</v>
      </c>
      <c r="J168" s="44" t="str">
        <f t="shared" si="9"/>
        <v>-</v>
      </c>
      <c r="K168" s="44" t="str">
        <f t="shared" si="9"/>
        <v>-</v>
      </c>
      <c r="L168" s="44" t="str">
        <f t="shared" si="9"/>
        <v>-</v>
      </c>
      <c r="M168" s="12">
        <f t="shared" si="8"/>
        <v>50000</v>
      </c>
    </row>
    <row r="169" spans="2:13" x14ac:dyDescent="0.45">
      <c r="B169" s="9">
        <v>164</v>
      </c>
      <c r="C169" s="10" t="s">
        <v>163</v>
      </c>
      <c r="D169" s="10" t="s">
        <v>352</v>
      </c>
      <c r="E169" s="39">
        <v>2</v>
      </c>
      <c r="F169" s="43" t="str">
        <f t="shared" si="9"/>
        <v>o</v>
      </c>
      <c r="G169" s="44" t="str">
        <f t="shared" si="9"/>
        <v>-</v>
      </c>
      <c r="H169" s="44" t="str">
        <f t="shared" si="9"/>
        <v>-</v>
      </c>
      <c r="I169" s="44" t="str">
        <f t="shared" si="9"/>
        <v>-</v>
      </c>
      <c r="J169" s="44" t="str">
        <f t="shared" si="9"/>
        <v>-</v>
      </c>
      <c r="K169" s="44" t="str">
        <f t="shared" si="9"/>
        <v>-</v>
      </c>
      <c r="L169" s="44" t="str">
        <f t="shared" si="9"/>
        <v>-</v>
      </c>
      <c r="M169" s="12">
        <f t="shared" si="8"/>
        <v>50000</v>
      </c>
    </row>
    <row r="170" spans="2:13" x14ac:dyDescent="0.45">
      <c r="B170" s="9">
        <v>165</v>
      </c>
      <c r="C170" s="10" t="s">
        <v>164</v>
      </c>
      <c r="D170" s="10" t="s">
        <v>353</v>
      </c>
      <c r="E170" s="39">
        <v>2</v>
      </c>
      <c r="F170" s="43" t="str">
        <f t="shared" si="9"/>
        <v>o</v>
      </c>
      <c r="G170" s="44" t="str">
        <f t="shared" si="9"/>
        <v>-</v>
      </c>
      <c r="H170" s="44" t="str">
        <f t="shared" si="9"/>
        <v>-</v>
      </c>
      <c r="I170" s="44" t="str">
        <f t="shared" si="9"/>
        <v>-</v>
      </c>
      <c r="J170" s="44" t="str">
        <f t="shared" si="9"/>
        <v>-</v>
      </c>
      <c r="K170" s="44" t="str">
        <f t="shared" si="9"/>
        <v>-</v>
      </c>
      <c r="L170" s="44" t="str">
        <f t="shared" si="9"/>
        <v>-</v>
      </c>
      <c r="M170" s="12">
        <f t="shared" si="8"/>
        <v>50000</v>
      </c>
    </row>
    <row r="171" spans="2:13" x14ac:dyDescent="0.45">
      <c r="B171" s="9">
        <v>166</v>
      </c>
      <c r="C171" s="10" t="s">
        <v>165</v>
      </c>
      <c r="D171" s="10" t="s">
        <v>354</v>
      </c>
      <c r="E171" s="39">
        <v>2</v>
      </c>
      <c r="F171" s="43" t="str">
        <f t="shared" si="9"/>
        <v>o</v>
      </c>
      <c r="G171" s="44" t="str">
        <f t="shared" si="9"/>
        <v>-</v>
      </c>
      <c r="H171" s="44" t="str">
        <f t="shared" si="9"/>
        <v>-</v>
      </c>
      <c r="I171" s="44" t="str">
        <f t="shared" si="9"/>
        <v>-</v>
      </c>
      <c r="J171" s="44" t="str">
        <f t="shared" si="9"/>
        <v>-</v>
      </c>
      <c r="K171" s="44" t="str">
        <f t="shared" si="9"/>
        <v>-</v>
      </c>
      <c r="L171" s="44" t="str">
        <f t="shared" si="9"/>
        <v>-</v>
      </c>
      <c r="M171" s="12">
        <f t="shared" si="8"/>
        <v>50000</v>
      </c>
    </row>
    <row r="172" spans="2:13" x14ac:dyDescent="0.45">
      <c r="B172" s="9">
        <v>167</v>
      </c>
      <c r="C172" s="10" t="s">
        <v>166</v>
      </c>
      <c r="D172" s="10" t="s">
        <v>355</v>
      </c>
      <c r="E172" s="39">
        <v>2</v>
      </c>
      <c r="F172" s="43" t="str">
        <f t="shared" si="9"/>
        <v>o</v>
      </c>
      <c r="G172" s="44" t="str">
        <f t="shared" si="9"/>
        <v>-</v>
      </c>
      <c r="H172" s="44" t="str">
        <f t="shared" si="9"/>
        <v>-</v>
      </c>
      <c r="I172" s="44" t="str">
        <f t="shared" si="9"/>
        <v>-</v>
      </c>
      <c r="J172" s="44" t="str">
        <f t="shared" si="9"/>
        <v>-</v>
      </c>
      <c r="K172" s="44" t="str">
        <f t="shared" si="9"/>
        <v>-</v>
      </c>
      <c r="L172" s="44" t="str">
        <f t="shared" si="9"/>
        <v>-</v>
      </c>
      <c r="M172" s="12">
        <f t="shared" si="8"/>
        <v>50000</v>
      </c>
    </row>
    <row r="173" spans="2:13" x14ac:dyDescent="0.45">
      <c r="B173" s="9">
        <v>168</v>
      </c>
      <c r="C173" s="10" t="s">
        <v>38</v>
      </c>
      <c r="D173" s="10" t="s">
        <v>356</v>
      </c>
      <c r="E173" s="39">
        <v>2</v>
      </c>
      <c r="F173" s="43" t="str">
        <f t="shared" si="9"/>
        <v>o</v>
      </c>
      <c r="G173" s="44" t="str">
        <f t="shared" si="9"/>
        <v>-</v>
      </c>
      <c r="H173" s="44" t="str">
        <f t="shared" si="9"/>
        <v>-</v>
      </c>
      <c r="I173" s="44" t="str">
        <f t="shared" si="9"/>
        <v>-</v>
      </c>
      <c r="J173" s="44" t="str">
        <f t="shared" si="9"/>
        <v>-</v>
      </c>
      <c r="K173" s="44" t="str">
        <f t="shared" si="9"/>
        <v>-</v>
      </c>
      <c r="L173" s="44" t="str">
        <f t="shared" si="9"/>
        <v>-</v>
      </c>
      <c r="M173" s="12">
        <f t="shared" si="8"/>
        <v>50000</v>
      </c>
    </row>
    <row r="174" spans="2:13" x14ac:dyDescent="0.45">
      <c r="B174" s="9">
        <v>169</v>
      </c>
      <c r="C174" s="10" t="s">
        <v>167</v>
      </c>
      <c r="D174" s="10" t="s">
        <v>357</v>
      </c>
      <c r="E174" s="39">
        <v>2</v>
      </c>
      <c r="F174" s="43" t="str">
        <f t="shared" si="9"/>
        <v>o</v>
      </c>
      <c r="G174" s="44" t="str">
        <f t="shared" si="9"/>
        <v>-</v>
      </c>
      <c r="H174" s="44" t="str">
        <f t="shared" si="9"/>
        <v>-</v>
      </c>
      <c r="I174" s="44" t="str">
        <f t="shared" si="9"/>
        <v>-</v>
      </c>
      <c r="J174" s="44" t="str">
        <f t="shared" si="9"/>
        <v>-</v>
      </c>
      <c r="K174" s="44" t="str">
        <f t="shared" si="9"/>
        <v>-</v>
      </c>
      <c r="L174" s="44" t="str">
        <f t="shared" si="9"/>
        <v>-</v>
      </c>
      <c r="M174" s="12">
        <f t="shared" si="8"/>
        <v>50000</v>
      </c>
    </row>
    <row r="175" spans="2:13" x14ac:dyDescent="0.45">
      <c r="B175" s="9">
        <v>170</v>
      </c>
      <c r="C175" s="10" t="s">
        <v>168</v>
      </c>
      <c r="D175" s="10" t="s">
        <v>358</v>
      </c>
      <c r="E175" s="39">
        <v>2</v>
      </c>
      <c r="F175" s="43" t="str">
        <f t="shared" si="9"/>
        <v>o</v>
      </c>
      <c r="G175" s="44" t="str">
        <f t="shared" si="9"/>
        <v>-</v>
      </c>
      <c r="H175" s="44" t="str">
        <f t="shared" si="9"/>
        <v>-</v>
      </c>
      <c r="I175" s="44" t="str">
        <f t="shared" si="9"/>
        <v>-</v>
      </c>
      <c r="J175" s="44" t="str">
        <f t="shared" si="9"/>
        <v>-</v>
      </c>
      <c r="K175" s="44" t="str">
        <f t="shared" si="9"/>
        <v>-</v>
      </c>
      <c r="L175" s="44" t="str">
        <f t="shared" si="9"/>
        <v>-</v>
      </c>
      <c r="M175" s="12">
        <f t="shared" si="8"/>
        <v>50000</v>
      </c>
    </row>
    <row r="176" spans="2:13" x14ac:dyDescent="0.45">
      <c r="B176" s="9">
        <v>171</v>
      </c>
      <c r="C176" s="10" t="s">
        <v>169</v>
      </c>
      <c r="D176" s="10" t="s">
        <v>359</v>
      </c>
      <c r="E176" s="39">
        <v>2</v>
      </c>
      <c r="F176" s="43" t="str">
        <f t="shared" si="9"/>
        <v>o</v>
      </c>
      <c r="G176" s="44" t="str">
        <f t="shared" si="9"/>
        <v>-</v>
      </c>
      <c r="H176" s="44" t="str">
        <f t="shared" si="9"/>
        <v>-</v>
      </c>
      <c r="I176" s="44" t="str">
        <f t="shared" si="9"/>
        <v>-</v>
      </c>
      <c r="J176" s="44" t="str">
        <f t="shared" si="9"/>
        <v>-</v>
      </c>
      <c r="K176" s="44" t="str">
        <f t="shared" si="9"/>
        <v>-</v>
      </c>
      <c r="L176" s="44" t="str">
        <f t="shared" si="9"/>
        <v>-</v>
      </c>
      <c r="M176" s="12">
        <f t="shared" si="8"/>
        <v>50000</v>
      </c>
    </row>
    <row r="177" spans="2:13" x14ac:dyDescent="0.45">
      <c r="B177" s="9">
        <v>172</v>
      </c>
      <c r="C177" s="10" t="s">
        <v>170</v>
      </c>
      <c r="D177" s="10" t="s">
        <v>360</v>
      </c>
      <c r="E177" s="39">
        <v>2</v>
      </c>
      <c r="F177" s="43" t="str">
        <f t="shared" si="9"/>
        <v>o</v>
      </c>
      <c r="G177" s="44" t="str">
        <f t="shared" si="9"/>
        <v>-</v>
      </c>
      <c r="H177" s="44" t="str">
        <f t="shared" si="9"/>
        <v>-</v>
      </c>
      <c r="I177" s="44" t="str">
        <f t="shared" si="9"/>
        <v>-</v>
      </c>
      <c r="J177" s="44" t="str">
        <f t="shared" si="9"/>
        <v>-</v>
      </c>
      <c r="K177" s="44" t="str">
        <f t="shared" si="9"/>
        <v>-</v>
      </c>
      <c r="L177" s="44" t="str">
        <f t="shared" si="9"/>
        <v>-</v>
      </c>
      <c r="M177" s="12">
        <f t="shared" si="8"/>
        <v>50000</v>
      </c>
    </row>
    <row r="178" spans="2:13" x14ac:dyDescent="0.45">
      <c r="B178" s="9">
        <v>173</v>
      </c>
      <c r="C178" s="10" t="s">
        <v>171</v>
      </c>
      <c r="D178" s="10" t="s">
        <v>361</v>
      </c>
      <c r="E178" s="39">
        <v>2</v>
      </c>
      <c r="F178" s="43" t="str">
        <f t="shared" si="9"/>
        <v>o</v>
      </c>
      <c r="G178" s="44" t="str">
        <f t="shared" si="9"/>
        <v>-</v>
      </c>
      <c r="H178" s="44" t="str">
        <f t="shared" si="9"/>
        <v>-</v>
      </c>
      <c r="I178" s="44" t="str">
        <f t="shared" si="9"/>
        <v>-</v>
      </c>
      <c r="J178" s="44" t="str">
        <f t="shared" si="9"/>
        <v>-</v>
      </c>
      <c r="K178" s="44" t="str">
        <f t="shared" si="9"/>
        <v>-</v>
      </c>
      <c r="L178" s="44" t="str">
        <f t="shared" si="9"/>
        <v>-</v>
      </c>
      <c r="M178" s="12">
        <f t="shared" si="8"/>
        <v>50000</v>
      </c>
    </row>
    <row r="179" spans="2:13" x14ac:dyDescent="0.45">
      <c r="B179" s="9">
        <v>174</v>
      </c>
      <c r="C179" s="10" t="s">
        <v>172</v>
      </c>
      <c r="D179" s="10" t="s">
        <v>362</v>
      </c>
      <c r="E179" s="39">
        <v>2</v>
      </c>
      <c r="F179" s="43" t="str">
        <f t="shared" si="9"/>
        <v>o</v>
      </c>
      <c r="G179" s="44" t="str">
        <f t="shared" si="9"/>
        <v>-</v>
      </c>
      <c r="H179" s="44" t="str">
        <f t="shared" si="9"/>
        <v>-</v>
      </c>
      <c r="I179" s="44" t="str">
        <f t="shared" si="9"/>
        <v>-</v>
      </c>
      <c r="J179" s="44" t="str">
        <f t="shared" si="9"/>
        <v>-</v>
      </c>
      <c r="K179" s="44" t="str">
        <f t="shared" si="9"/>
        <v>-</v>
      </c>
      <c r="L179" s="44" t="str">
        <f t="shared" si="9"/>
        <v>-</v>
      </c>
      <c r="M179" s="12">
        <f t="shared" si="8"/>
        <v>50000</v>
      </c>
    </row>
    <row r="180" spans="2:13" x14ac:dyDescent="0.45">
      <c r="B180" s="9">
        <v>175</v>
      </c>
      <c r="C180" s="10" t="s">
        <v>173</v>
      </c>
      <c r="D180" s="10" t="s">
        <v>363</v>
      </c>
      <c r="E180" s="39">
        <v>2</v>
      </c>
      <c r="F180" s="43" t="str">
        <f t="shared" si="9"/>
        <v>o</v>
      </c>
      <c r="G180" s="44" t="str">
        <f t="shared" si="9"/>
        <v>-</v>
      </c>
      <c r="H180" s="44" t="str">
        <f t="shared" si="9"/>
        <v>-</v>
      </c>
      <c r="I180" s="44" t="str">
        <f t="shared" si="9"/>
        <v>-</v>
      </c>
      <c r="J180" s="44" t="str">
        <f t="shared" si="9"/>
        <v>-</v>
      </c>
      <c r="K180" s="44" t="str">
        <f t="shared" si="9"/>
        <v>-</v>
      </c>
      <c r="L180" s="44" t="str">
        <f t="shared" si="9"/>
        <v>-</v>
      </c>
      <c r="M180" s="12">
        <f t="shared" si="8"/>
        <v>50000</v>
      </c>
    </row>
    <row r="181" spans="2:13" x14ac:dyDescent="0.45">
      <c r="B181" s="9">
        <v>176</v>
      </c>
      <c r="C181" s="10" t="s">
        <v>174</v>
      </c>
      <c r="D181" s="10" t="s">
        <v>364</v>
      </c>
      <c r="E181" s="39">
        <v>2</v>
      </c>
      <c r="F181" s="43" t="str">
        <f t="shared" si="9"/>
        <v>o</v>
      </c>
      <c r="G181" s="44" t="str">
        <f t="shared" si="9"/>
        <v>-</v>
      </c>
      <c r="H181" s="44" t="str">
        <f t="shared" si="9"/>
        <v>-</v>
      </c>
      <c r="I181" s="44" t="str">
        <f t="shared" si="9"/>
        <v>-</v>
      </c>
      <c r="J181" s="44" t="str">
        <f t="shared" si="9"/>
        <v>-</v>
      </c>
      <c r="K181" s="44" t="str">
        <f t="shared" si="9"/>
        <v>-</v>
      </c>
      <c r="L181" s="44" t="str">
        <f t="shared" si="9"/>
        <v>-</v>
      </c>
      <c r="M181" s="12">
        <f t="shared" si="8"/>
        <v>50000</v>
      </c>
    </row>
    <row r="182" spans="2:13" x14ac:dyDescent="0.45">
      <c r="B182" s="9">
        <v>177</v>
      </c>
      <c r="C182" s="10" t="s">
        <v>175</v>
      </c>
      <c r="D182" s="10" t="s">
        <v>365</v>
      </c>
      <c r="E182" s="39">
        <v>2</v>
      </c>
      <c r="F182" s="43" t="str">
        <f t="shared" si="9"/>
        <v>o</v>
      </c>
      <c r="G182" s="44" t="str">
        <f t="shared" si="9"/>
        <v>-</v>
      </c>
      <c r="H182" s="44" t="str">
        <f t="shared" si="9"/>
        <v>-</v>
      </c>
      <c r="I182" s="44" t="str">
        <f t="shared" si="9"/>
        <v>-</v>
      </c>
      <c r="J182" s="44" t="str">
        <f t="shared" si="9"/>
        <v>-</v>
      </c>
      <c r="K182" s="44" t="str">
        <f t="shared" si="9"/>
        <v>-</v>
      </c>
      <c r="L182" s="44" t="str">
        <f t="shared" si="9"/>
        <v>-</v>
      </c>
      <c r="M182" s="12">
        <f t="shared" si="8"/>
        <v>50000</v>
      </c>
    </row>
    <row r="183" spans="2:13" x14ac:dyDescent="0.45">
      <c r="B183" s="9">
        <v>178</v>
      </c>
      <c r="C183" s="10" t="s">
        <v>176</v>
      </c>
      <c r="D183" s="10" t="s">
        <v>366</v>
      </c>
      <c r="E183" s="39">
        <v>2</v>
      </c>
      <c r="F183" s="43" t="str">
        <f t="shared" si="9"/>
        <v>o</v>
      </c>
      <c r="G183" s="44" t="str">
        <f t="shared" si="9"/>
        <v>-</v>
      </c>
      <c r="H183" s="44" t="str">
        <f t="shared" si="9"/>
        <v>-</v>
      </c>
      <c r="I183" s="44" t="str">
        <f t="shared" si="9"/>
        <v>-</v>
      </c>
      <c r="J183" s="44" t="str">
        <f t="shared" si="9"/>
        <v>-</v>
      </c>
      <c r="K183" s="44" t="str">
        <f t="shared" si="9"/>
        <v>-</v>
      </c>
      <c r="L183" s="44" t="str">
        <f t="shared" si="9"/>
        <v>-</v>
      </c>
      <c r="M183" s="12">
        <f t="shared" si="8"/>
        <v>50000</v>
      </c>
    </row>
    <row r="184" spans="2:13" x14ac:dyDescent="0.45">
      <c r="B184" s="9">
        <v>179</v>
      </c>
      <c r="C184" s="10" t="s">
        <v>177</v>
      </c>
      <c r="D184" s="10" t="s">
        <v>367</v>
      </c>
      <c r="E184" s="39">
        <v>2</v>
      </c>
      <c r="F184" s="43" t="str">
        <f t="shared" si="9"/>
        <v>o</v>
      </c>
      <c r="G184" s="44" t="str">
        <f t="shared" si="9"/>
        <v>-</v>
      </c>
      <c r="H184" s="44" t="str">
        <f t="shared" si="9"/>
        <v>-</v>
      </c>
      <c r="I184" s="44" t="str">
        <f t="shared" si="9"/>
        <v>-</v>
      </c>
      <c r="J184" s="44" t="str">
        <f t="shared" si="9"/>
        <v>-</v>
      </c>
      <c r="K184" s="44" t="str">
        <f t="shared" si="9"/>
        <v>-</v>
      </c>
      <c r="L184" s="44" t="str">
        <f t="shared" si="9"/>
        <v>-</v>
      </c>
      <c r="M184" s="12">
        <f t="shared" si="8"/>
        <v>50000</v>
      </c>
    </row>
    <row r="185" spans="2:13" x14ac:dyDescent="0.45">
      <c r="B185" s="9">
        <v>180</v>
      </c>
      <c r="C185" s="10" t="s">
        <v>178</v>
      </c>
      <c r="D185" s="10" t="s">
        <v>368</v>
      </c>
      <c r="E185" s="39">
        <v>2</v>
      </c>
      <c r="F185" s="43" t="str">
        <f t="shared" si="9"/>
        <v>o</v>
      </c>
      <c r="G185" s="44" t="str">
        <f t="shared" si="9"/>
        <v>-</v>
      </c>
      <c r="H185" s="44" t="str">
        <f t="shared" si="9"/>
        <v>-</v>
      </c>
      <c r="I185" s="44" t="str">
        <f t="shared" si="9"/>
        <v>-</v>
      </c>
      <c r="J185" s="44" t="str">
        <f t="shared" si="9"/>
        <v>-</v>
      </c>
      <c r="K185" s="44" t="str">
        <f t="shared" si="9"/>
        <v>-</v>
      </c>
      <c r="L185" s="44" t="str">
        <f t="shared" si="9"/>
        <v>-</v>
      </c>
      <c r="M185" s="12">
        <f t="shared" si="8"/>
        <v>50000</v>
      </c>
    </row>
    <row r="186" spans="2:13" x14ac:dyDescent="0.45">
      <c r="B186" s="9">
        <v>181</v>
      </c>
      <c r="C186" s="10" t="s">
        <v>179</v>
      </c>
      <c r="D186" s="10" t="s">
        <v>369</v>
      </c>
      <c r="E186" s="39">
        <v>2</v>
      </c>
      <c r="F186" s="43" t="str">
        <f t="shared" si="9"/>
        <v>o</v>
      </c>
      <c r="G186" s="44" t="str">
        <f t="shared" si="9"/>
        <v>-</v>
      </c>
      <c r="H186" s="44" t="str">
        <f t="shared" si="9"/>
        <v>-</v>
      </c>
      <c r="I186" s="44" t="str">
        <f t="shared" si="9"/>
        <v>-</v>
      </c>
      <c r="J186" s="44" t="str">
        <f t="shared" si="9"/>
        <v>-</v>
      </c>
      <c r="K186" s="44" t="str">
        <f t="shared" si="9"/>
        <v>-</v>
      </c>
      <c r="L186" s="44" t="str">
        <f t="shared" si="9"/>
        <v>-</v>
      </c>
      <c r="M186" s="12">
        <f t="shared" si="8"/>
        <v>50000</v>
      </c>
    </row>
    <row r="187" spans="2:13" x14ac:dyDescent="0.45">
      <c r="B187" s="9">
        <v>182</v>
      </c>
      <c r="C187" s="10" t="s">
        <v>180</v>
      </c>
      <c r="D187" s="10" t="s">
        <v>370</v>
      </c>
      <c r="E187" s="39">
        <v>2</v>
      </c>
      <c r="F187" s="43" t="str">
        <f t="shared" si="9"/>
        <v>o</v>
      </c>
      <c r="G187" s="44" t="str">
        <f t="shared" si="9"/>
        <v>-</v>
      </c>
      <c r="H187" s="44" t="str">
        <f t="shared" si="9"/>
        <v>-</v>
      </c>
      <c r="I187" s="44" t="str">
        <f t="shared" si="9"/>
        <v>-</v>
      </c>
      <c r="J187" s="44" t="str">
        <f t="shared" si="9"/>
        <v>-</v>
      </c>
      <c r="K187" s="44" t="str">
        <f t="shared" si="9"/>
        <v>-</v>
      </c>
      <c r="L187" s="44" t="str">
        <f t="shared" si="9"/>
        <v>-</v>
      </c>
      <c r="M187" s="12">
        <f t="shared" si="8"/>
        <v>50000</v>
      </c>
    </row>
    <row r="188" spans="2:13" x14ac:dyDescent="0.45">
      <c r="B188" s="9">
        <v>183</v>
      </c>
      <c r="C188" s="10" t="s">
        <v>181</v>
      </c>
      <c r="D188" s="10" t="s">
        <v>371</v>
      </c>
      <c r="E188" s="39">
        <v>2</v>
      </c>
      <c r="F188" s="43" t="str">
        <f t="shared" si="9"/>
        <v>o</v>
      </c>
      <c r="G188" s="44" t="str">
        <f t="shared" si="9"/>
        <v>-</v>
      </c>
      <c r="H188" s="44" t="str">
        <f t="shared" si="9"/>
        <v>-</v>
      </c>
      <c r="I188" s="44" t="str">
        <f t="shared" si="9"/>
        <v>-</v>
      </c>
      <c r="J188" s="44" t="str">
        <f t="shared" si="9"/>
        <v>-</v>
      </c>
      <c r="K188" s="44" t="str">
        <f t="shared" si="9"/>
        <v>-</v>
      </c>
      <c r="L188" s="44" t="str">
        <f t="shared" si="9"/>
        <v>-</v>
      </c>
      <c r="M188" s="12">
        <f t="shared" si="8"/>
        <v>50000</v>
      </c>
    </row>
    <row r="189" spans="2:13" x14ac:dyDescent="0.45">
      <c r="B189" s="9">
        <v>184</v>
      </c>
      <c r="C189" s="10" t="s">
        <v>182</v>
      </c>
      <c r="D189" s="10" t="s">
        <v>372</v>
      </c>
      <c r="E189" s="39">
        <v>2</v>
      </c>
      <c r="F189" s="43" t="str">
        <f t="shared" si="9"/>
        <v>o</v>
      </c>
      <c r="G189" s="44" t="str">
        <f t="shared" si="9"/>
        <v>-</v>
      </c>
      <c r="H189" s="44" t="str">
        <f t="shared" si="9"/>
        <v>-</v>
      </c>
      <c r="I189" s="44" t="str">
        <f t="shared" si="9"/>
        <v>-</v>
      </c>
      <c r="J189" s="44" t="str">
        <f t="shared" si="9"/>
        <v>-</v>
      </c>
      <c r="K189" s="44" t="str">
        <f t="shared" si="9"/>
        <v>-</v>
      </c>
      <c r="L189" s="44" t="str">
        <f t="shared" si="9"/>
        <v>-</v>
      </c>
      <c r="M189" s="12">
        <f t="shared" si="8"/>
        <v>50000</v>
      </c>
    </row>
    <row r="190" spans="2:13" x14ac:dyDescent="0.45">
      <c r="B190" s="9">
        <v>185</v>
      </c>
      <c r="C190" s="10" t="s">
        <v>183</v>
      </c>
      <c r="D190" s="10" t="s">
        <v>373</v>
      </c>
      <c r="E190" s="39">
        <v>2</v>
      </c>
      <c r="F190" s="43" t="str">
        <f t="shared" si="9"/>
        <v>o</v>
      </c>
      <c r="G190" s="44" t="str">
        <f t="shared" si="9"/>
        <v>-</v>
      </c>
      <c r="H190" s="44" t="str">
        <f t="shared" si="9"/>
        <v>-</v>
      </c>
      <c r="I190" s="44" t="str">
        <f t="shared" si="9"/>
        <v>-</v>
      </c>
      <c r="J190" s="44" t="str">
        <f t="shared" si="9"/>
        <v>-</v>
      </c>
      <c r="K190" s="44" t="str">
        <f t="shared" si="9"/>
        <v>-</v>
      </c>
      <c r="L190" s="44" t="str">
        <f t="shared" si="9"/>
        <v>-</v>
      </c>
      <c r="M190" s="12">
        <f t="shared" si="8"/>
        <v>50000</v>
      </c>
    </row>
    <row r="191" spans="2:13" x14ac:dyDescent="0.45">
      <c r="B191" s="9">
        <v>186</v>
      </c>
      <c r="C191" s="10" t="s">
        <v>184</v>
      </c>
      <c r="D191" s="10" t="s">
        <v>374</v>
      </c>
      <c r="E191" s="39">
        <v>2</v>
      </c>
      <c r="F191" s="43" t="str">
        <f t="shared" si="9"/>
        <v>o</v>
      </c>
      <c r="G191" s="44" t="str">
        <f t="shared" si="9"/>
        <v>-</v>
      </c>
      <c r="H191" s="44" t="str">
        <f t="shared" si="9"/>
        <v>-</v>
      </c>
      <c r="I191" s="44" t="str">
        <f t="shared" si="9"/>
        <v>-</v>
      </c>
      <c r="J191" s="44" t="str">
        <f t="shared" si="9"/>
        <v>-</v>
      </c>
      <c r="K191" s="44" t="str">
        <f t="shared" si="9"/>
        <v>-</v>
      </c>
      <c r="L191" s="44" t="str">
        <f t="shared" si="9"/>
        <v>-</v>
      </c>
      <c r="M191" s="12">
        <f t="shared" si="8"/>
        <v>50000</v>
      </c>
    </row>
    <row r="192" spans="2:13" x14ac:dyDescent="0.45">
      <c r="B192" s="9">
        <v>187</v>
      </c>
      <c r="C192" s="10" t="s">
        <v>185</v>
      </c>
      <c r="D192" s="10" t="s">
        <v>375</v>
      </c>
      <c r="E192" s="39">
        <v>2</v>
      </c>
      <c r="F192" s="43" t="str">
        <f t="shared" si="9"/>
        <v>o</v>
      </c>
      <c r="G192" s="44" t="str">
        <f t="shared" si="9"/>
        <v>-</v>
      </c>
      <c r="H192" s="44" t="str">
        <f t="shared" si="9"/>
        <v>-</v>
      </c>
      <c r="I192" s="44" t="str">
        <f t="shared" si="9"/>
        <v>-</v>
      </c>
      <c r="J192" s="44" t="str">
        <f t="shared" si="9"/>
        <v>-</v>
      </c>
      <c r="K192" s="44" t="str">
        <f t="shared" si="9"/>
        <v>-</v>
      </c>
      <c r="L192" s="44" t="str">
        <f t="shared" si="9"/>
        <v>-</v>
      </c>
      <c r="M192" s="12">
        <f t="shared" si="8"/>
        <v>50000</v>
      </c>
    </row>
    <row r="193" spans="2:13" x14ac:dyDescent="0.45">
      <c r="B193" s="9">
        <v>188</v>
      </c>
      <c r="C193" s="10" t="s">
        <v>186</v>
      </c>
      <c r="D193" s="10" t="s">
        <v>376</v>
      </c>
      <c r="E193" s="39">
        <v>2</v>
      </c>
      <c r="F193" s="43" t="str">
        <f t="shared" si="9"/>
        <v>o</v>
      </c>
      <c r="G193" s="44" t="str">
        <f t="shared" si="9"/>
        <v>-</v>
      </c>
      <c r="H193" s="44" t="str">
        <f t="shared" si="9"/>
        <v>-</v>
      </c>
      <c r="I193" s="44" t="str">
        <f t="shared" si="9"/>
        <v>-</v>
      </c>
      <c r="J193" s="44" t="str">
        <f t="shared" si="9"/>
        <v>-</v>
      </c>
      <c r="K193" s="44" t="str">
        <f t="shared" si="9"/>
        <v>-</v>
      </c>
      <c r="L193" s="44" t="str">
        <f t="shared" si="9"/>
        <v>-</v>
      </c>
      <c r="M193" s="12">
        <f t="shared" si="8"/>
        <v>50000</v>
      </c>
    </row>
    <row r="194" spans="2:13" x14ac:dyDescent="0.45">
      <c r="B194" s="46">
        <v>189</v>
      </c>
      <c r="C194" s="47" t="s">
        <v>187</v>
      </c>
      <c r="D194" s="47" t="s">
        <v>377</v>
      </c>
      <c r="E194" s="48">
        <v>2</v>
      </c>
      <c r="F194" s="49" t="str">
        <f t="shared" si="9"/>
        <v>o</v>
      </c>
      <c r="G194" s="50" t="str">
        <f t="shared" si="9"/>
        <v>-</v>
      </c>
      <c r="H194" s="50" t="str">
        <f t="shared" si="9"/>
        <v>-</v>
      </c>
      <c r="I194" s="50" t="str">
        <f t="shared" si="9"/>
        <v>-</v>
      </c>
      <c r="J194" s="50" t="str">
        <f t="shared" si="9"/>
        <v>-</v>
      </c>
      <c r="K194" s="50" t="str">
        <f t="shared" si="9"/>
        <v>-</v>
      </c>
      <c r="L194" s="50" t="str">
        <f t="shared" si="9"/>
        <v>-</v>
      </c>
      <c r="M194" s="51">
        <f t="shared" si="8"/>
        <v>50000</v>
      </c>
    </row>
  </sheetData>
  <autoFilter ref="B4:M194" xr:uid="{6F1C0DDA-2BD2-4568-8425-FACCAC33E3CE}"/>
  <mergeCells count="2">
    <mergeCell ref="F3:M3"/>
    <mergeCell ref="B5:C5"/>
  </mergeCells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15B30-22DB-4421-ADD7-998345FC7465}">
  <sheetPr>
    <pageSetUpPr fitToPage="1"/>
  </sheetPr>
  <dimension ref="B2:K53"/>
  <sheetViews>
    <sheetView showGridLines="0" tabSelected="1" zoomScaleNormal="100" workbookViewId="0">
      <selection activeCell="F2" sqref="F2"/>
    </sheetView>
  </sheetViews>
  <sheetFormatPr defaultRowHeight="17" x14ac:dyDescent="0.45"/>
  <cols>
    <col min="1" max="1" width="3.25" customWidth="1"/>
    <col min="2" max="2" width="13.58203125" customWidth="1"/>
    <col min="3" max="3" width="3.83203125" style="11" customWidth="1"/>
    <col min="4" max="4" width="60" bestFit="1" customWidth="1"/>
    <col min="5" max="5" width="9.75" customWidth="1"/>
    <col min="6" max="7" width="9.75" style="13" customWidth="1"/>
    <col min="8" max="8" width="14.83203125" customWidth="1"/>
    <col min="9" max="9" width="13.58203125" customWidth="1"/>
    <col min="10" max="10" width="13" customWidth="1"/>
    <col min="11" max="11" width="16.33203125" customWidth="1"/>
  </cols>
  <sheetData>
    <row r="2" spans="2:11" ht="35.15" customHeight="1" x14ac:dyDescent="0.45">
      <c r="B2" s="28" t="s">
        <v>445</v>
      </c>
      <c r="C2" s="52"/>
      <c r="D2" s="27"/>
      <c r="E2" s="27"/>
      <c r="F2" s="63"/>
      <c r="G2" s="63"/>
      <c r="H2" s="27"/>
    </row>
    <row r="3" spans="2:11" ht="18" customHeight="1" x14ac:dyDescent="0.45">
      <c r="B3" s="26" t="s">
        <v>444</v>
      </c>
      <c r="C3" s="53"/>
      <c r="D3" s="25"/>
      <c r="E3" s="25"/>
      <c r="F3" s="64"/>
      <c r="G3" s="64"/>
      <c r="H3" s="25"/>
    </row>
    <row r="4" spans="2:11" x14ac:dyDescent="0.45">
      <c r="B4" s="24" t="s">
        <v>443</v>
      </c>
      <c r="C4" s="24" t="s">
        <v>442</v>
      </c>
      <c r="D4" s="24" t="s">
        <v>441</v>
      </c>
      <c r="E4" s="24" t="s">
        <v>380</v>
      </c>
      <c r="F4" s="65" t="s">
        <v>462</v>
      </c>
      <c r="G4" s="65" t="s">
        <v>463</v>
      </c>
      <c r="H4" s="24" t="s">
        <v>440</v>
      </c>
      <c r="I4" s="24" t="s">
        <v>464</v>
      </c>
      <c r="J4" s="24" t="s">
        <v>439</v>
      </c>
      <c r="K4" s="24" t="s">
        <v>438</v>
      </c>
    </row>
    <row r="5" spans="2:11" x14ac:dyDescent="0.45">
      <c r="B5" s="60">
        <v>2</v>
      </c>
      <c r="C5" s="29">
        <v>1</v>
      </c>
      <c r="D5" s="21" t="s">
        <v>437</v>
      </c>
      <c r="E5" s="21" t="s">
        <v>459</v>
      </c>
      <c r="F5" s="66">
        <v>50000</v>
      </c>
      <c r="G5" s="66">
        <v>50000</v>
      </c>
      <c r="H5" s="21" t="s">
        <v>436</v>
      </c>
      <c r="I5" s="62">
        <v>1300</v>
      </c>
      <c r="J5" s="62"/>
      <c r="K5" s="62"/>
    </row>
    <row r="6" spans="2:11" x14ac:dyDescent="0.45">
      <c r="B6" s="60">
        <v>2</v>
      </c>
      <c r="C6" s="29">
        <v>2</v>
      </c>
      <c r="D6" s="21" t="s">
        <v>435</v>
      </c>
      <c r="E6" s="21" t="s">
        <v>460</v>
      </c>
      <c r="F6" s="66">
        <v>39900</v>
      </c>
      <c r="G6" s="66">
        <v>50000</v>
      </c>
      <c r="H6" s="21"/>
      <c r="I6" s="62"/>
      <c r="J6" s="62"/>
      <c r="K6" s="62"/>
    </row>
    <row r="7" spans="2:11" x14ac:dyDescent="0.45">
      <c r="B7" s="60">
        <v>2</v>
      </c>
      <c r="C7" s="29">
        <v>3</v>
      </c>
      <c r="D7" s="21" t="s">
        <v>434</v>
      </c>
      <c r="E7" s="21" t="s">
        <v>460</v>
      </c>
      <c r="F7" s="66">
        <v>39800</v>
      </c>
      <c r="G7" s="66">
        <v>50000</v>
      </c>
      <c r="H7" s="21"/>
      <c r="I7" s="62"/>
      <c r="J7" s="62"/>
      <c r="K7" s="62"/>
    </row>
    <row r="8" spans="2:11" x14ac:dyDescent="0.45">
      <c r="B8" s="60">
        <v>2</v>
      </c>
      <c r="C8" s="29">
        <v>4</v>
      </c>
      <c r="D8" s="21" t="s">
        <v>433</v>
      </c>
      <c r="E8" s="21" t="s">
        <v>460</v>
      </c>
      <c r="F8" s="66">
        <v>40000</v>
      </c>
      <c r="G8" s="66">
        <v>50000</v>
      </c>
      <c r="H8" s="21"/>
      <c r="I8" s="62"/>
      <c r="J8" s="62"/>
      <c r="K8" s="62"/>
    </row>
    <row r="9" spans="2:11" x14ac:dyDescent="0.45">
      <c r="B9" s="60">
        <v>2</v>
      </c>
      <c r="C9" s="29">
        <v>5</v>
      </c>
      <c r="D9" s="21" t="s">
        <v>432</v>
      </c>
      <c r="E9" s="21" t="s">
        <v>460</v>
      </c>
      <c r="F9" s="66">
        <v>40000</v>
      </c>
      <c r="G9" s="66">
        <v>50000</v>
      </c>
      <c r="H9" s="21"/>
      <c r="I9" s="62"/>
      <c r="J9" s="62"/>
      <c r="K9" s="62"/>
    </row>
    <row r="10" spans="2:11" x14ac:dyDescent="0.45">
      <c r="B10" s="60">
        <v>2</v>
      </c>
      <c r="C10" s="29">
        <v>6</v>
      </c>
      <c r="D10" s="21" t="s">
        <v>431</v>
      </c>
      <c r="E10" s="21" t="s">
        <v>460</v>
      </c>
      <c r="F10" s="66">
        <v>51000</v>
      </c>
      <c r="G10" s="66">
        <v>50000</v>
      </c>
      <c r="H10" s="21"/>
      <c r="I10" s="62"/>
      <c r="J10" s="62"/>
      <c r="K10" s="62"/>
    </row>
    <row r="11" spans="2:11" ht="17.5" thickBot="1" x14ac:dyDescent="0.5">
      <c r="B11" s="61">
        <v>2</v>
      </c>
      <c r="C11" s="30">
        <v>7</v>
      </c>
      <c r="D11" s="20" t="s">
        <v>430</v>
      </c>
      <c r="E11" s="20" t="s">
        <v>460</v>
      </c>
      <c r="F11" s="69">
        <v>39000</v>
      </c>
      <c r="G11" s="69">
        <v>50000</v>
      </c>
      <c r="H11" s="20"/>
      <c r="I11" s="70"/>
      <c r="J11" s="70"/>
      <c r="K11" s="70"/>
    </row>
    <row r="12" spans="2:11" x14ac:dyDescent="0.45">
      <c r="B12" s="59">
        <v>4</v>
      </c>
      <c r="C12" s="31">
        <v>1</v>
      </c>
      <c r="D12" s="22" t="s">
        <v>429</v>
      </c>
      <c r="E12" s="22" t="s">
        <v>459</v>
      </c>
      <c r="F12" s="67">
        <v>100000</v>
      </c>
      <c r="G12" s="67">
        <v>100000</v>
      </c>
      <c r="H12" s="22" t="s">
        <v>428</v>
      </c>
      <c r="I12" s="68">
        <v>600</v>
      </c>
      <c r="J12" s="68"/>
      <c r="K12" s="68"/>
    </row>
    <row r="13" spans="2:11" x14ac:dyDescent="0.45">
      <c r="B13" s="60">
        <v>4</v>
      </c>
      <c r="C13" s="29">
        <v>2</v>
      </c>
      <c r="D13" s="21" t="s">
        <v>427</v>
      </c>
      <c r="E13" s="21" t="s">
        <v>459</v>
      </c>
      <c r="F13" s="66">
        <v>100000</v>
      </c>
      <c r="G13" s="66">
        <v>100000</v>
      </c>
      <c r="H13" s="21"/>
      <c r="I13" s="62"/>
      <c r="J13" s="62"/>
      <c r="K13" s="62"/>
    </row>
    <row r="14" spans="2:11" x14ac:dyDescent="0.45">
      <c r="B14" s="60">
        <v>4</v>
      </c>
      <c r="C14" s="29">
        <v>3</v>
      </c>
      <c r="D14" s="21" t="s">
        <v>426</v>
      </c>
      <c r="E14" s="21" t="s">
        <v>460</v>
      </c>
      <c r="F14" s="66">
        <v>75000</v>
      </c>
      <c r="G14" s="66">
        <v>100000</v>
      </c>
      <c r="H14" s="21"/>
      <c r="I14" s="62"/>
      <c r="J14" s="62"/>
      <c r="K14" s="62"/>
    </row>
    <row r="15" spans="2:11" x14ac:dyDescent="0.45">
      <c r="B15" s="60">
        <v>4</v>
      </c>
      <c r="C15" s="29">
        <v>4</v>
      </c>
      <c r="D15" s="21" t="s">
        <v>425</v>
      </c>
      <c r="E15" s="21" t="s">
        <v>460</v>
      </c>
      <c r="F15" s="66">
        <v>109000</v>
      </c>
      <c r="G15" s="66">
        <v>125000</v>
      </c>
      <c r="H15" s="21"/>
      <c r="I15" s="62"/>
      <c r="J15" s="62"/>
      <c r="K15" s="62"/>
    </row>
    <row r="16" spans="2:11" x14ac:dyDescent="0.45">
      <c r="B16" s="60">
        <v>4</v>
      </c>
      <c r="C16" s="29">
        <v>5</v>
      </c>
      <c r="D16" s="21" t="s">
        <v>424</v>
      </c>
      <c r="E16" s="21" t="s">
        <v>460</v>
      </c>
      <c r="F16" s="66">
        <v>95000</v>
      </c>
      <c r="G16" s="66">
        <v>110000</v>
      </c>
      <c r="H16" s="21"/>
      <c r="I16" s="62"/>
      <c r="J16" s="62"/>
      <c r="K16" s="62"/>
    </row>
    <row r="17" spans="2:11" x14ac:dyDescent="0.45">
      <c r="B17" s="60">
        <v>4</v>
      </c>
      <c r="C17" s="29">
        <v>6</v>
      </c>
      <c r="D17" s="21" t="s">
        <v>423</v>
      </c>
      <c r="E17" s="21" t="s">
        <v>460</v>
      </c>
      <c r="F17" s="66">
        <v>115000</v>
      </c>
      <c r="G17" s="66">
        <v>125000</v>
      </c>
      <c r="H17" s="21"/>
      <c r="I17" s="62"/>
      <c r="J17" s="62"/>
      <c r="K17" s="62"/>
    </row>
    <row r="18" spans="2:11" ht="17.5" thickBot="1" x14ac:dyDescent="0.5">
      <c r="B18" s="61">
        <v>4</v>
      </c>
      <c r="C18" s="30">
        <v>7</v>
      </c>
      <c r="D18" s="20" t="s">
        <v>422</v>
      </c>
      <c r="E18" s="20" t="s">
        <v>460</v>
      </c>
      <c r="F18" s="69">
        <v>95000</v>
      </c>
      <c r="G18" s="69">
        <v>110000</v>
      </c>
      <c r="H18" s="20"/>
      <c r="I18" s="70"/>
      <c r="J18" s="70"/>
      <c r="K18" s="70"/>
    </row>
    <row r="19" spans="2:11" x14ac:dyDescent="0.45">
      <c r="B19" s="59">
        <v>6</v>
      </c>
      <c r="C19" s="31">
        <v>1</v>
      </c>
      <c r="D19" s="22" t="s">
        <v>421</v>
      </c>
      <c r="E19" s="22" t="s">
        <v>459</v>
      </c>
      <c r="F19" s="67">
        <v>200000</v>
      </c>
      <c r="G19" s="67">
        <v>200000</v>
      </c>
      <c r="H19" s="22" t="s">
        <v>420</v>
      </c>
      <c r="I19" s="68">
        <v>250</v>
      </c>
      <c r="J19" s="68"/>
      <c r="K19" s="68"/>
    </row>
    <row r="20" spans="2:11" x14ac:dyDescent="0.45">
      <c r="B20" s="60">
        <v>6</v>
      </c>
      <c r="C20" s="29">
        <v>2</v>
      </c>
      <c r="D20" s="21" t="s">
        <v>419</v>
      </c>
      <c r="E20" s="21" t="s">
        <v>460</v>
      </c>
      <c r="F20" s="66">
        <v>179000</v>
      </c>
      <c r="G20" s="66">
        <v>200000</v>
      </c>
      <c r="H20" s="21"/>
      <c r="I20" s="62"/>
      <c r="J20" s="62"/>
      <c r="K20" s="62"/>
    </row>
    <row r="21" spans="2:11" x14ac:dyDescent="0.45">
      <c r="B21" s="60">
        <v>6</v>
      </c>
      <c r="C21" s="29">
        <v>3</v>
      </c>
      <c r="D21" s="21" t="s">
        <v>418</v>
      </c>
      <c r="E21" s="21" t="s">
        <v>460</v>
      </c>
      <c r="F21" s="66">
        <v>180000</v>
      </c>
      <c r="G21" s="66">
        <v>200000</v>
      </c>
      <c r="H21" s="21"/>
      <c r="I21" s="62"/>
      <c r="J21" s="62"/>
      <c r="K21" s="62"/>
    </row>
    <row r="22" spans="2:11" x14ac:dyDescent="0.45">
      <c r="B22" s="60">
        <v>6</v>
      </c>
      <c r="C22" s="29">
        <v>4</v>
      </c>
      <c r="D22" s="21" t="s">
        <v>417</v>
      </c>
      <c r="E22" s="21" t="s">
        <v>460</v>
      </c>
      <c r="F22" s="66">
        <v>170000</v>
      </c>
      <c r="G22" s="66">
        <v>200000</v>
      </c>
      <c r="H22" s="21"/>
      <c r="I22" s="62"/>
      <c r="J22" s="62"/>
      <c r="K22" s="62"/>
    </row>
    <row r="23" spans="2:11" x14ac:dyDescent="0.45">
      <c r="B23" s="60">
        <v>6</v>
      </c>
      <c r="C23" s="29">
        <v>5</v>
      </c>
      <c r="D23" s="21" t="s">
        <v>416</v>
      </c>
      <c r="E23" s="21" t="s">
        <v>460</v>
      </c>
      <c r="F23" s="66">
        <v>199000</v>
      </c>
      <c r="G23" s="66">
        <v>215000</v>
      </c>
      <c r="H23" s="21"/>
      <c r="I23" s="62"/>
      <c r="J23" s="62"/>
      <c r="K23" s="62"/>
    </row>
    <row r="24" spans="2:11" x14ac:dyDescent="0.45">
      <c r="B24" s="60">
        <v>6</v>
      </c>
      <c r="C24" s="29">
        <v>6</v>
      </c>
      <c r="D24" s="21" t="s">
        <v>415</v>
      </c>
      <c r="E24" s="21" t="s">
        <v>460</v>
      </c>
      <c r="F24" s="66">
        <v>199000</v>
      </c>
      <c r="G24" s="66">
        <v>220000</v>
      </c>
      <c r="H24" s="21"/>
      <c r="I24" s="62"/>
      <c r="J24" s="62"/>
      <c r="K24" s="62"/>
    </row>
    <row r="25" spans="2:11" ht="17.5" thickBot="1" x14ac:dyDescent="0.5">
      <c r="B25" s="61">
        <v>6</v>
      </c>
      <c r="C25" s="30">
        <v>7</v>
      </c>
      <c r="D25" s="20" t="s">
        <v>414</v>
      </c>
      <c r="E25" s="20" t="s">
        <v>460</v>
      </c>
      <c r="F25" s="69">
        <v>170000</v>
      </c>
      <c r="G25" s="69">
        <v>200000</v>
      </c>
      <c r="H25" s="20"/>
      <c r="I25" s="70"/>
      <c r="J25" s="70"/>
      <c r="K25" s="70"/>
    </row>
    <row r="26" spans="2:11" x14ac:dyDescent="0.45">
      <c r="B26" s="59">
        <v>8</v>
      </c>
      <c r="C26" s="31">
        <v>1</v>
      </c>
      <c r="D26" s="22" t="s">
        <v>413</v>
      </c>
      <c r="E26" s="22" t="s">
        <v>459</v>
      </c>
      <c r="F26" s="67">
        <v>400000</v>
      </c>
      <c r="G26" s="67">
        <v>400000</v>
      </c>
      <c r="H26" s="22" t="s">
        <v>412</v>
      </c>
      <c r="I26" s="68">
        <v>100</v>
      </c>
      <c r="J26" s="68"/>
      <c r="K26" s="68"/>
    </row>
    <row r="27" spans="2:11" x14ac:dyDescent="0.45">
      <c r="B27" s="60">
        <v>8</v>
      </c>
      <c r="C27" s="29">
        <v>2</v>
      </c>
      <c r="D27" s="21" t="s">
        <v>411</v>
      </c>
      <c r="E27" s="21" t="s">
        <v>460</v>
      </c>
      <c r="F27" s="66">
        <v>490000</v>
      </c>
      <c r="G27" s="66">
        <v>500000</v>
      </c>
      <c r="H27" s="21"/>
      <c r="I27" s="62"/>
      <c r="J27" s="62"/>
      <c r="K27" s="62"/>
    </row>
    <row r="28" spans="2:11" x14ac:dyDescent="0.45">
      <c r="B28" s="60">
        <v>8</v>
      </c>
      <c r="C28" s="29">
        <v>3</v>
      </c>
      <c r="D28" s="21" t="s">
        <v>410</v>
      </c>
      <c r="E28" s="21" t="s">
        <v>460</v>
      </c>
      <c r="F28" s="66">
        <v>470000</v>
      </c>
      <c r="G28" s="66">
        <v>500000</v>
      </c>
      <c r="H28" s="21"/>
      <c r="I28" s="62"/>
      <c r="J28" s="62"/>
      <c r="K28" s="62"/>
    </row>
    <row r="29" spans="2:11" x14ac:dyDescent="0.45">
      <c r="B29" s="60">
        <v>8</v>
      </c>
      <c r="C29" s="29">
        <v>4</v>
      </c>
      <c r="D29" s="21" t="s">
        <v>409</v>
      </c>
      <c r="E29" s="21" t="s">
        <v>460</v>
      </c>
      <c r="F29" s="66">
        <v>350000</v>
      </c>
      <c r="G29" s="66">
        <v>400000</v>
      </c>
      <c r="H29" s="21"/>
      <c r="I29" s="62"/>
      <c r="J29" s="62"/>
      <c r="K29" s="62"/>
    </row>
    <row r="30" spans="2:11" x14ac:dyDescent="0.45">
      <c r="B30" s="60">
        <v>8</v>
      </c>
      <c r="C30" s="29">
        <v>5</v>
      </c>
      <c r="D30" s="21" t="s">
        <v>408</v>
      </c>
      <c r="E30" s="21" t="s">
        <v>460</v>
      </c>
      <c r="F30" s="66">
        <v>350000</v>
      </c>
      <c r="G30" s="66">
        <v>400000</v>
      </c>
      <c r="H30" s="21"/>
      <c r="I30" s="62"/>
      <c r="J30" s="62"/>
      <c r="K30" s="62"/>
    </row>
    <row r="31" spans="2:11" x14ac:dyDescent="0.45">
      <c r="B31" s="60">
        <v>8</v>
      </c>
      <c r="C31" s="29">
        <v>6</v>
      </c>
      <c r="D31" s="21" t="s">
        <v>407</v>
      </c>
      <c r="E31" s="21" t="s">
        <v>460</v>
      </c>
      <c r="F31" s="66">
        <v>419000</v>
      </c>
      <c r="G31" s="66">
        <v>470000</v>
      </c>
      <c r="H31" s="21"/>
      <c r="I31" s="62"/>
      <c r="J31" s="62"/>
      <c r="K31" s="62"/>
    </row>
    <row r="32" spans="2:11" ht="17.5" thickBot="1" x14ac:dyDescent="0.5">
      <c r="B32" s="61">
        <v>8</v>
      </c>
      <c r="C32" s="30">
        <v>7</v>
      </c>
      <c r="D32" s="20" t="s">
        <v>406</v>
      </c>
      <c r="E32" s="20" t="s">
        <v>460</v>
      </c>
      <c r="F32" s="69">
        <v>430000</v>
      </c>
      <c r="G32" s="69">
        <v>480000</v>
      </c>
      <c r="H32" s="20"/>
      <c r="I32" s="70"/>
      <c r="J32" s="70"/>
      <c r="K32" s="70"/>
    </row>
    <row r="33" spans="2:11" x14ac:dyDescent="0.45">
      <c r="B33" s="59">
        <v>10</v>
      </c>
      <c r="C33" s="31">
        <v>1</v>
      </c>
      <c r="D33" s="22" t="s">
        <v>405</v>
      </c>
      <c r="E33" s="22" t="s">
        <v>459</v>
      </c>
      <c r="F33" s="67">
        <v>600000</v>
      </c>
      <c r="G33" s="67">
        <v>600000</v>
      </c>
      <c r="H33" s="22" t="s">
        <v>404</v>
      </c>
      <c r="I33" s="68">
        <v>60</v>
      </c>
      <c r="J33" s="68"/>
      <c r="K33" s="68"/>
    </row>
    <row r="34" spans="2:11" x14ac:dyDescent="0.45">
      <c r="B34" s="60">
        <v>10</v>
      </c>
      <c r="C34" s="29">
        <v>2</v>
      </c>
      <c r="D34" s="21" t="s">
        <v>403</v>
      </c>
      <c r="E34" s="21" t="s">
        <v>460</v>
      </c>
      <c r="F34" s="66">
        <v>520000</v>
      </c>
      <c r="G34" s="66">
        <v>600000</v>
      </c>
      <c r="H34" s="21"/>
      <c r="I34" s="62"/>
      <c r="J34" s="62"/>
      <c r="K34" s="62"/>
    </row>
    <row r="35" spans="2:11" x14ac:dyDescent="0.45">
      <c r="B35" s="60">
        <v>10</v>
      </c>
      <c r="C35" s="29">
        <v>3</v>
      </c>
      <c r="D35" s="21" t="s">
        <v>402</v>
      </c>
      <c r="E35" s="21" t="s">
        <v>460</v>
      </c>
      <c r="F35" s="66">
        <v>599000</v>
      </c>
      <c r="G35" s="66">
        <v>700000</v>
      </c>
      <c r="H35" s="21"/>
      <c r="I35" s="62"/>
      <c r="J35" s="62"/>
      <c r="K35" s="62"/>
    </row>
    <row r="36" spans="2:11" x14ac:dyDescent="0.45">
      <c r="B36" s="60">
        <v>10</v>
      </c>
      <c r="C36" s="29">
        <v>4</v>
      </c>
      <c r="D36" s="21" t="s">
        <v>401</v>
      </c>
      <c r="E36" s="21" t="s">
        <v>460</v>
      </c>
      <c r="F36" s="66">
        <v>500000</v>
      </c>
      <c r="G36" s="66">
        <v>600000</v>
      </c>
      <c r="H36" s="21"/>
      <c r="I36" s="62"/>
      <c r="J36" s="62"/>
      <c r="K36" s="62"/>
    </row>
    <row r="37" spans="2:11" x14ac:dyDescent="0.45">
      <c r="B37" s="60">
        <v>10</v>
      </c>
      <c r="C37" s="29">
        <v>5</v>
      </c>
      <c r="D37" s="21" t="s">
        <v>400</v>
      </c>
      <c r="E37" s="21" t="s">
        <v>460</v>
      </c>
      <c r="F37" s="66">
        <v>847000</v>
      </c>
      <c r="G37" s="66">
        <v>900000</v>
      </c>
      <c r="H37" s="21"/>
      <c r="I37" s="62"/>
      <c r="J37" s="62"/>
      <c r="K37" s="62"/>
    </row>
    <row r="38" spans="2:11" x14ac:dyDescent="0.45">
      <c r="B38" s="60">
        <v>10</v>
      </c>
      <c r="C38" s="29">
        <v>6</v>
      </c>
      <c r="D38" s="23" t="s">
        <v>399</v>
      </c>
      <c r="E38" s="21" t="s">
        <v>459</v>
      </c>
      <c r="F38" s="66">
        <v>600000</v>
      </c>
      <c r="G38" s="66">
        <v>600000</v>
      </c>
      <c r="H38" s="21"/>
      <c r="I38" s="62"/>
      <c r="J38" s="62"/>
      <c r="K38" s="62"/>
    </row>
    <row r="39" spans="2:11" ht="17.5" thickBot="1" x14ac:dyDescent="0.5">
      <c r="B39" s="61">
        <v>10</v>
      </c>
      <c r="C39" s="30">
        <v>7</v>
      </c>
      <c r="D39" s="20" t="s">
        <v>398</v>
      </c>
      <c r="E39" s="20" t="s">
        <v>460</v>
      </c>
      <c r="F39" s="69">
        <v>659000</v>
      </c>
      <c r="G39" s="69">
        <v>700000</v>
      </c>
      <c r="H39" s="20"/>
      <c r="I39" s="70"/>
      <c r="J39" s="70"/>
      <c r="K39" s="70"/>
    </row>
    <row r="40" spans="2:11" x14ac:dyDescent="0.45">
      <c r="B40" s="59">
        <v>15</v>
      </c>
      <c r="C40" s="31">
        <v>1</v>
      </c>
      <c r="D40" s="22" t="s">
        <v>397</v>
      </c>
      <c r="E40" s="22" t="s">
        <v>459</v>
      </c>
      <c r="F40" s="67">
        <v>1000000</v>
      </c>
      <c r="G40" s="67">
        <v>1000000</v>
      </c>
      <c r="H40" s="22" t="s">
        <v>396</v>
      </c>
      <c r="I40" s="68">
        <v>10</v>
      </c>
      <c r="J40" s="68"/>
      <c r="K40" s="68"/>
    </row>
    <row r="41" spans="2:11" x14ac:dyDescent="0.45">
      <c r="B41" s="60">
        <v>15</v>
      </c>
      <c r="C41" s="29">
        <v>2</v>
      </c>
      <c r="D41" s="21" t="s">
        <v>395</v>
      </c>
      <c r="E41" s="21" t="s">
        <v>460</v>
      </c>
      <c r="F41" s="66">
        <v>900000</v>
      </c>
      <c r="G41" s="66">
        <v>1000000</v>
      </c>
      <c r="H41" s="21"/>
      <c r="I41" s="62"/>
      <c r="J41" s="62"/>
      <c r="K41" s="62"/>
    </row>
    <row r="42" spans="2:11" x14ac:dyDescent="0.45">
      <c r="B42" s="60">
        <v>15</v>
      </c>
      <c r="C42" s="29">
        <v>3</v>
      </c>
      <c r="D42" s="21" t="s">
        <v>394</v>
      </c>
      <c r="E42" s="21" t="s">
        <v>460</v>
      </c>
      <c r="F42" s="66">
        <v>1069000</v>
      </c>
      <c r="G42" s="66">
        <v>1200000</v>
      </c>
      <c r="H42" s="21"/>
      <c r="I42" s="62"/>
      <c r="J42" s="62"/>
      <c r="K42" s="62"/>
    </row>
    <row r="43" spans="2:11" x14ac:dyDescent="0.45">
      <c r="B43" s="60">
        <v>15</v>
      </c>
      <c r="C43" s="29">
        <v>4</v>
      </c>
      <c r="D43" s="21" t="s">
        <v>393</v>
      </c>
      <c r="E43" s="21" t="s">
        <v>460</v>
      </c>
      <c r="F43" s="66">
        <v>1100000</v>
      </c>
      <c r="G43" s="66">
        <v>1200000</v>
      </c>
      <c r="H43" s="21"/>
      <c r="I43" s="62"/>
      <c r="J43" s="62"/>
      <c r="K43" s="62"/>
    </row>
    <row r="44" spans="2:11" x14ac:dyDescent="0.45">
      <c r="B44" s="60">
        <v>15</v>
      </c>
      <c r="C44" s="29">
        <v>5</v>
      </c>
      <c r="D44" s="21" t="s">
        <v>392</v>
      </c>
      <c r="E44" s="21" t="s">
        <v>459</v>
      </c>
      <c r="F44" s="66">
        <v>1000000</v>
      </c>
      <c r="G44" s="66">
        <v>1000000</v>
      </c>
      <c r="H44" s="21"/>
      <c r="I44" s="62"/>
      <c r="J44" s="62"/>
      <c r="K44" s="62"/>
    </row>
    <row r="45" spans="2:11" x14ac:dyDescent="0.45">
      <c r="B45" s="60">
        <v>15</v>
      </c>
      <c r="C45" s="29">
        <v>6</v>
      </c>
      <c r="D45" s="21" t="s">
        <v>391</v>
      </c>
      <c r="E45" s="21" t="s">
        <v>460</v>
      </c>
      <c r="F45" s="66">
        <v>970000</v>
      </c>
      <c r="G45" s="66">
        <v>1100000</v>
      </c>
      <c r="H45" s="21"/>
      <c r="I45" s="62"/>
      <c r="J45" s="62"/>
      <c r="K45" s="62"/>
    </row>
    <row r="46" spans="2:11" ht="17.5" thickBot="1" x14ac:dyDescent="0.5">
      <c r="B46" s="61">
        <v>15</v>
      </c>
      <c r="C46" s="30">
        <v>7</v>
      </c>
      <c r="D46" s="20" t="s">
        <v>390</v>
      </c>
      <c r="E46" s="20" t="s">
        <v>459</v>
      </c>
      <c r="F46" s="69">
        <v>1000000</v>
      </c>
      <c r="G46" s="69">
        <v>1000000</v>
      </c>
      <c r="H46" s="20"/>
      <c r="I46" s="70"/>
      <c r="J46" s="70"/>
      <c r="K46" s="70"/>
    </row>
    <row r="47" spans="2:11" x14ac:dyDescent="0.45">
      <c r="B47" s="59">
        <v>20</v>
      </c>
      <c r="C47" s="31">
        <v>1</v>
      </c>
      <c r="D47" s="22" t="s">
        <v>389</v>
      </c>
      <c r="E47" s="22" t="s">
        <v>459</v>
      </c>
      <c r="F47" s="67">
        <v>2000000</v>
      </c>
      <c r="G47" s="67">
        <v>2000000</v>
      </c>
      <c r="H47" s="22" t="s">
        <v>388</v>
      </c>
      <c r="I47" s="68">
        <v>2</v>
      </c>
      <c r="J47" s="68"/>
      <c r="K47" s="68"/>
    </row>
    <row r="48" spans="2:11" x14ac:dyDescent="0.45">
      <c r="B48" s="60">
        <v>20</v>
      </c>
      <c r="C48" s="29">
        <v>2</v>
      </c>
      <c r="D48" s="21" t="s">
        <v>387</v>
      </c>
      <c r="E48" s="21" t="s">
        <v>460</v>
      </c>
      <c r="F48" s="66">
        <v>1780000</v>
      </c>
      <c r="G48" s="66">
        <v>2000000</v>
      </c>
      <c r="H48" s="21"/>
      <c r="I48" s="62"/>
      <c r="J48" s="62"/>
      <c r="K48" s="62"/>
    </row>
    <row r="49" spans="2:11" x14ac:dyDescent="0.45">
      <c r="B49" s="60">
        <v>20</v>
      </c>
      <c r="C49" s="29">
        <v>3</v>
      </c>
      <c r="D49" s="21" t="s">
        <v>386</v>
      </c>
      <c r="E49" s="21" t="s">
        <v>460</v>
      </c>
      <c r="F49" s="66">
        <v>2190000</v>
      </c>
      <c r="G49" s="66">
        <v>2400000</v>
      </c>
      <c r="H49" s="21"/>
      <c r="I49" s="62"/>
      <c r="J49" s="62"/>
      <c r="K49" s="62"/>
    </row>
    <row r="50" spans="2:11" x14ac:dyDescent="0.45">
      <c r="B50" s="60">
        <v>20</v>
      </c>
      <c r="C50" s="29">
        <v>4</v>
      </c>
      <c r="D50" s="21" t="s">
        <v>461</v>
      </c>
      <c r="E50" s="21" t="s">
        <v>460</v>
      </c>
      <c r="F50" s="66">
        <v>2017000</v>
      </c>
      <c r="G50" s="66">
        <v>2300000</v>
      </c>
      <c r="H50" s="21"/>
      <c r="I50" s="62"/>
      <c r="J50" s="62"/>
      <c r="K50" s="62"/>
    </row>
    <row r="51" spans="2:11" x14ac:dyDescent="0.45">
      <c r="B51" s="60">
        <v>20</v>
      </c>
      <c r="C51" s="29">
        <v>5</v>
      </c>
      <c r="D51" s="21" t="s">
        <v>385</v>
      </c>
      <c r="E51" s="21" t="s">
        <v>459</v>
      </c>
      <c r="F51" s="66">
        <v>2000000</v>
      </c>
      <c r="G51" s="66">
        <v>2000000</v>
      </c>
      <c r="H51" s="21"/>
      <c r="I51" s="62"/>
      <c r="J51" s="62"/>
      <c r="K51" s="62"/>
    </row>
    <row r="52" spans="2:11" x14ac:dyDescent="0.45">
      <c r="B52" s="60">
        <v>20</v>
      </c>
      <c r="C52" s="29">
        <v>6</v>
      </c>
      <c r="D52" s="21" t="s">
        <v>384</v>
      </c>
      <c r="E52" s="21" t="s">
        <v>460</v>
      </c>
      <c r="F52" s="66">
        <v>2400000</v>
      </c>
      <c r="G52" s="66">
        <v>2500000</v>
      </c>
      <c r="H52" s="21"/>
      <c r="I52" s="62"/>
      <c r="J52" s="62"/>
      <c r="K52" s="62"/>
    </row>
    <row r="53" spans="2:11" x14ac:dyDescent="0.45">
      <c r="B53" s="60">
        <v>20</v>
      </c>
      <c r="C53" s="29">
        <v>7</v>
      </c>
      <c r="D53" s="21" t="s">
        <v>383</v>
      </c>
      <c r="E53" s="21" t="s">
        <v>459</v>
      </c>
      <c r="F53" s="66">
        <v>2000000</v>
      </c>
      <c r="G53" s="66">
        <v>2300000</v>
      </c>
      <c r="H53" s="21"/>
      <c r="I53" s="62"/>
      <c r="J53" s="62"/>
      <c r="K53" s="62"/>
    </row>
  </sheetData>
  <autoFilter ref="B4:K53" xr:uid="{97A15B30-22DB-4421-ADD7-998345FC7465}"/>
  <phoneticPr fontId="3" type="noConversion"/>
  <pageMargins left="0.7" right="0.7" top="0.75" bottom="0.75" header="0.3" footer="0.3"/>
  <pageSetup paperSize="9" scale="5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전달용</vt:lpstr>
      <vt:lpstr>상품목록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김소연</dc:creator>
  <cp:lastModifiedBy>전략영업1팀</cp:lastModifiedBy>
  <dcterms:created xsi:type="dcterms:W3CDTF">2026-02-12T01:01:35Z</dcterms:created>
  <dcterms:modified xsi:type="dcterms:W3CDTF">2026-02-12T08:55:17Z</dcterms:modified>
</cp:coreProperties>
</file>