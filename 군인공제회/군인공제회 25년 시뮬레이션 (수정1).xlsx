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drl\OneDrive\Desktop\입찰 정보\2025년 군인공제회\"/>
    </mc:Choice>
  </mc:AlternateContent>
  <xr:revisionPtr revIDLastSave="0" documentId="13_ncr:1_{6B6F6EFA-4773-419F-A7F0-91C150B38CD5}" xr6:coauthVersionLast="47" xr6:coauthVersionMax="47" xr10:uidLastSave="{00000000-0000-0000-0000-000000000000}"/>
  <bookViews>
    <workbookView xWindow="-120" yWindow="-120" windowWidth="29040" windowHeight="15720" activeTab="1" xr2:uid="{9AA29F00-47B8-407D-B428-DDB6CF4301A2}"/>
  </bookViews>
  <sheets>
    <sheet name="확정 할인율" sheetId="8" r:id="rId1"/>
    <sheet name="시뮬레이션" sheetId="9" r:id="rId2"/>
    <sheet name="시뮬레이션 (2)" sheetId="10" r:id="rId3"/>
    <sheet name="과거 입찰데이터" sheetId="7" r:id="rId4"/>
    <sheet name="하이닉스" sheetId="2" r:id="rId5"/>
    <sheet name="생일24" sheetId="3" r:id="rId6"/>
    <sheet name="우리카드" sheetId="4" r:id="rId7"/>
  </sheets>
  <definedNames>
    <definedName name="_xlnm.Print_Area" localSheetId="1">시뮬레이션!$A$2:$M$10</definedName>
    <definedName name="_xlnm.Print_Area" localSheetId="2">'시뮬레이션 (2)'!$A$1:$N$16</definedName>
    <definedName name="_xlnm.Print_Area" localSheetId="0">'확정 할인율'!$A$1:$M$9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0" l="1"/>
  <c r="E28" i="10"/>
  <c r="J25" i="10"/>
  <c r="I25" i="10"/>
  <c r="F25" i="10"/>
  <c r="L25" i="10" s="1"/>
  <c r="C25" i="10"/>
  <c r="J24" i="10"/>
  <c r="I24" i="10"/>
  <c r="F24" i="10"/>
  <c r="L24" i="10" s="1"/>
  <c r="C24" i="10"/>
  <c r="J23" i="10"/>
  <c r="I23" i="10"/>
  <c r="F23" i="10"/>
  <c r="L23" i="10" s="1"/>
  <c r="C23" i="10"/>
  <c r="J22" i="10"/>
  <c r="J28" i="10" s="1"/>
  <c r="I22" i="10"/>
  <c r="I28" i="10" s="1"/>
  <c r="F22" i="10"/>
  <c r="L22" i="10" s="1"/>
  <c r="C22" i="10"/>
  <c r="F5" i="10"/>
  <c r="L5" i="10" s="1"/>
  <c r="F6" i="10"/>
  <c r="L6" i="10" s="1"/>
  <c r="F7" i="10"/>
  <c r="H7" i="10" s="1"/>
  <c r="F8" i="10"/>
  <c r="L8" i="10" s="1"/>
  <c r="F9" i="10"/>
  <c r="L9" i="10" s="1"/>
  <c r="F10" i="10"/>
  <c r="F11" i="10"/>
  <c r="F12" i="10"/>
  <c r="F13" i="10"/>
  <c r="F4" i="10"/>
  <c r="L12" i="10"/>
  <c r="L13" i="10"/>
  <c r="C5" i="10"/>
  <c r="C6" i="10"/>
  <c r="C7" i="10"/>
  <c r="C8" i="10"/>
  <c r="C9" i="10"/>
  <c r="C10" i="10"/>
  <c r="C11" i="10"/>
  <c r="C12" i="10"/>
  <c r="C13" i="10"/>
  <c r="C4" i="10"/>
  <c r="J13" i="10"/>
  <c r="I13" i="10"/>
  <c r="J12" i="10"/>
  <c r="I12" i="10"/>
  <c r="J11" i="10"/>
  <c r="I11" i="10"/>
  <c r="L11" i="10"/>
  <c r="J10" i="10"/>
  <c r="I10" i="10"/>
  <c r="L10" i="10"/>
  <c r="J9" i="10"/>
  <c r="I9" i="10"/>
  <c r="J8" i="10"/>
  <c r="I8" i="10"/>
  <c r="J7" i="10"/>
  <c r="I7" i="10"/>
  <c r="J6" i="10"/>
  <c r="I6" i="10"/>
  <c r="J5" i="10"/>
  <c r="I5" i="10"/>
  <c r="J4" i="10"/>
  <c r="J16" i="10" s="1"/>
  <c r="I4" i="10"/>
  <c r="L4" i="10"/>
  <c r="E18" i="9"/>
  <c r="G18" i="9" s="1"/>
  <c r="H18" i="9"/>
  <c r="I18" i="9"/>
  <c r="E19" i="9"/>
  <c r="G19" i="9" s="1"/>
  <c r="H19" i="9"/>
  <c r="I19" i="9"/>
  <c r="K19" i="9"/>
  <c r="L19" i="9" s="1"/>
  <c r="M19" i="9" s="1"/>
  <c r="E20" i="9"/>
  <c r="K20" i="9" s="1"/>
  <c r="H20" i="9"/>
  <c r="I20" i="9"/>
  <c r="E21" i="9"/>
  <c r="K21" i="9" s="1"/>
  <c r="L21" i="9" s="1"/>
  <c r="M21" i="9" s="1"/>
  <c r="G21" i="9"/>
  <c r="H21" i="9"/>
  <c r="I21" i="9"/>
  <c r="D23" i="9"/>
  <c r="H23" i="9"/>
  <c r="I23" i="9"/>
  <c r="E29" i="9"/>
  <c r="G29" i="9"/>
  <c r="H29" i="9"/>
  <c r="I29" i="9"/>
  <c r="I34" i="9" s="1"/>
  <c r="K29" i="9"/>
  <c r="L29" i="9" s="1"/>
  <c r="M29" i="9" s="1"/>
  <c r="E30" i="9"/>
  <c r="G30" i="9" s="1"/>
  <c r="H30" i="9"/>
  <c r="I30" i="9"/>
  <c r="E31" i="9"/>
  <c r="K31" i="9" s="1"/>
  <c r="G31" i="9"/>
  <c r="H31" i="9"/>
  <c r="I31" i="9"/>
  <c r="E32" i="9"/>
  <c r="G32" i="9" s="1"/>
  <c r="H32" i="9"/>
  <c r="I32" i="9"/>
  <c r="K32" i="9"/>
  <c r="L32" i="9" s="1"/>
  <c r="M32" i="9" s="1"/>
  <c r="E33" i="9"/>
  <c r="G33" i="9"/>
  <c r="H33" i="9"/>
  <c r="I33" i="9"/>
  <c r="K33" i="9"/>
  <c r="L33" i="9"/>
  <c r="M33" i="9"/>
  <c r="D34" i="9"/>
  <c r="E34" i="9"/>
  <c r="D10" i="9"/>
  <c r="I8" i="9"/>
  <c r="H8" i="9"/>
  <c r="E8" i="9"/>
  <c r="G8" i="9" s="1"/>
  <c r="I7" i="9"/>
  <c r="H7" i="9"/>
  <c r="E7" i="9"/>
  <c r="G7" i="9" s="1"/>
  <c r="I6" i="9"/>
  <c r="H6" i="9"/>
  <c r="E6" i="9"/>
  <c r="K6" i="9" s="1"/>
  <c r="I5" i="9"/>
  <c r="I10" i="9" s="1"/>
  <c r="H5" i="9"/>
  <c r="E5" i="9"/>
  <c r="K5" i="9" s="1"/>
  <c r="D24" i="8"/>
  <c r="M22" i="8"/>
  <c r="L22" i="8"/>
  <c r="K22" i="8"/>
  <c r="I22" i="8"/>
  <c r="H22" i="8"/>
  <c r="G22" i="8"/>
  <c r="E22" i="8"/>
  <c r="K21" i="8"/>
  <c r="I21" i="8"/>
  <c r="H21" i="8"/>
  <c r="E21" i="8"/>
  <c r="G21" i="8" s="1"/>
  <c r="I20" i="8"/>
  <c r="H20" i="8"/>
  <c r="E20" i="8"/>
  <c r="K20" i="8" s="1"/>
  <c r="I19" i="8"/>
  <c r="I24" i="8" s="1"/>
  <c r="H19" i="8"/>
  <c r="H24" i="8" s="1"/>
  <c r="E19" i="8"/>
  <c r="E24" i="8" s="1"/>
  <c r="D9" i="8"/>
  <c r="K7" i="8"/>
  <c r="I7" i="8"/>
  <c r="H7" i="8"/>
  <c r="G7" i="8"/>
  <c r="E7" i="8"/>
  <c r="I6" i="8"/>
  <c r="H6" i="8"/>
  <c r="E6" i="8"/>
  <c r="K6" i="8" s="1"/>
  <c r="I5" i="8"/>
  <c r="H5" i="8"/>
  <c r="E5" i="8"/>
  <c r="K5" i="8" s="1"/>
  <c r="K4" i="8"/>
  <c r="I4" i="8"/>
  <c r="I9" i="8" s="1"/>
  <c r="H4" i="8"/>
  <c r="G4" i="8"/>
  <c r="E4" i="8"/>
  <c r="H24" i="10" l="1"/>
  <c r="M24" i="10" s="1"/>
  <c r="N24" i="10" s="1"/>
  <c r="F28" i="10"/>
  <c r="H22" i="10"/>
  <c r="H25" i="10"/>
  <c r="M25" i="10" s="1"/>
  <c r="N25" i="10" s="1"/>
  <c r="H23" i="10"/>
  <c r="M23" i="10" s="1"/>
  <c r="N23" i="10" s="1"/>
  <c r="F16" i="10"/>
  <c r="I16" i="10"/>
  <c r="H13" i="10"/>
  <c r="M13" i="10" s="1"/>
  <c r="N13" i="10" s="1"/>
  <c r="H12" i="10"/>
  <c r="M12" i="10" s="1"/>
  <c r="N12" i="10" s="1"/>
  <c r="H11" i="10"/>
  <c r="M11" i="10" s="1"/>
  <c r="N11" i="10" s="1"/>
  <c r="H10" i="10"/>
  <c r="M10" i="10" s="1"/>
  <c r="N10" i="10" s="1"/>
  <c r="H9" i="10"/>
  <c r="M9" i="10" s="1"/>
  <c r="N9" i="10" s="1"/>
  <c r="H8" i="10"/>
  <c r="M8" i="10" s="1"/>
  <c r="N8" i="10" s="1"/>
  <c r="H6" i="10"/>
  <c r="M6" i="10" s="1"/>
  <c r="N6" i="10" s="1"/>
  <c r="L7" i="10"/>
  <c r="M7" i="10" s="1"/>
  <c r="N7" i="10" s="1"/>
  <c r="H4" i="10"/>
  <c r="H5" i="10"/>
  <c r="M5" i="10" s="1"/>
  <c r="N5" i="10" s="1"/>
  <c r="L31" i="9"/>
  <c r="M31" i="9" s="1"/>
  <c r="H34" i="9"/>
  <c r="G34" i="9"/>
  <c r="G20" i="9"/>
  <c r="G23" i="9" s="1"/>
  <c r="K30" i="9"/>
  <c r="K18" i="9"/>
  <c r="H10" i="9"/>
  <c r="G6" i="9"/>
  <c r="L6" i="9" s="1"/>
  <c r="M6" i="9" s="1"/>
  <c r="K8" i="9"/>
  <c r="L8" i="9" s="1"/>
  <c r="M8" i="9" s="1"/>
  <c r="K7" i="9"/>
  <c r="L7" i="9" s="1"/>
  <c r="M7" i="9" s="1"/>
  <c r="G5" i="9"/>
  <c r="L7" i="8"/>
  <c r="M7" i="8" s="1"/>
  <c r="H9" i="8"/>
  <c r="H10" i="8" s="1"/>
  <c r="I10" i="8" s="1"/>
  <c r="K9" i="8"/>
  <c r="L21" i="8"/>
  <c r="M21" i="8" s="1"/>
  <c r="G19" i="8"/>
  <c r="L4" i="8"/>
  <c r="K19" i="8"/>
  <c r="G5" i="8"/>
  <c r="L5" i="8" s="1"/>
  <c r="M5" i="8" s="1"/>
  <c r="G20" i="8"/>
  <c r="L20" i="8" s="1"/>
  <c r="M20" i="8" s="1"/>
  <c r="G6" i="8"/>
  <c r="L6" i="8" s="1"/>
  <c r="M6" i="8" s="1"/>
  <c r="I28" i="7"/>
  <c r="H29" i="7"/>
  <c r="F38" i="7"/>
  <c r="F39" i="7" s="1"/>
  <c r="E36" i="7"/>
  <c r="H36" i="7" s="1"/>
  <c r="E35" i="7"/>
  <c r="H35" i="7" s="1"/>
  <c r="E34" i="7"/>
  <c r="E37" i="7" s="1"/>
  <c r="E39" i="7" s="1"/>
  <c r="E40" i="7" s="1"/>
  <c r="I33" i="7"/>
  <c r="H33" i="7"/>
  <c r="H32" i="7"/>
  <c r="I32" i="7" s="1"/>
  <c r="E31" i="7"/>
  <c r="H31" i="7" s="1"/>
  <c r="E27" i="7"/>
  <c r="E26" i="7"/>
  <c r="H26" i="7" s="1"/>
  <c r="E25" i="7"/>
  <c r="I24" i="7"/>
  <c r="H24" i="7"/>
  <c r="H23" i="7"/>
  <c r="I23" i="7" s="1"/>
  <c r="E22" i="7"/>
  <c r="L28" i="10" l="1"/>
  <c r="H28" i="10"/>
  <c r="M22" i="10"/>
  <c r="H16" i="10"/>
  <c r="L16" i="10"/>
  <c r="M4" i="10"/>
  <c r="L18" i="9"/>
  <c r="K23" i="9"/>
  <c r="K34" i="9"/>
  <c r="L30" i="9"/>
  <c r="L20" i="9"/>
  <c r="M20" i="9" s="1"/>
  <c r="G10" i="9"/>
  <c r="K10" i="9"/>
  <c r="L5" i="9"/>
  <c r="L9" i="8"/>
  <c r="M9" i="8" s="1"/>
  <c r="M4" i="8"/>
  <c r="K24" i="8"/>
  <c r="L19" i="8"/>
  <c r="G24" i="8"/>
  <c r="G9" i="8"/>
  <c r="H25" i="7"/>
  <c r="I25" i="7" s="1"/>
  <c r="H34" i="7"/>
  <c r="I34" i="7" s="1"/>
  <c r="I26" i="7"/>
  <c r="I35" i="7"/>
  <c r="H27" i="7"/>
  <c r="I27" i="7" s="1"/>
  <c r="I36" i="7"/>
  <c r="I31" i="7"/>
  <c r="H22" i="7"/>
  <c r="M28" i="10" l="1"/>
  <c r="N28" i="10" s="1"/>
  <c r="N22" i="10"/>
  <c r="M16" i="10"/>
  <c r="N16" i="10" s="1"/>
  <c r="N4" i="10"/>
  <c r="M30" i="9"/>
  <c r="L34" i="9"/>
  <c r="M34" i="9" s="1"/>
  <c r="M18" i="9"/>
  <c r="L23" i="9"/>
  <c r="M23" i="9" s="1"/>
  <c r="M5" i="9"/>
  <c r="L10" i="9"/>
  <c r="M10" i="9" s="1"/>
  <c r="L24" i="8"/>
  <c r="M24" i="8" s="1"/>
  <c r="M19" i="8"/>
  <c r="I22" i="7"/>
  <c r="I29" i="7"/>
  <c r="I37" i="7"/>
  <c r="H40" i="7" s="1"/>
  <c r="H41" i="7" s="1"/>
  <c r="M8" i="7" l="1"/>
  <c r="O7" i="7" s="1"/>
  <c r="N2" i="7"/>
  <c r="P2" i="7" s="1"/>
  <c r="M3" i="7"/>
  <c r="O2" i="7" s="1"/>
  <c r="N7" i="7"/>
  <c r="P7" i="7" s="1"/>
  <c r="N55" i="7"/>
  <c r="P55" i="7" s="1"/>
  <c r="M55" i="7"/>
  <c r="O55" i="7" s="1"/>
  <c r="G15" i="2"/>
  <c r="F15" i="2"/>
  <c r="E15" i="2"/>
  <c r="M15" i="2" s="1"/>
  <c r="G14" i="2"/>
  <c r="F14" i="2"/>
  <c r="F16" i="2" s="1"/>
  <c r="E14" i="2"/>
  <c r="I14" i="2" s="1"/>
  <c r="M7" i="2"/>
  <c r="I7" i="2"/>
  <c r="G7" i="2"/>
  <c r="F7" i="2"/>
  <c r="E7" i="2"/>
  <c r="G6" i="2"/>
  <c r="F6" i="2"/>
  <c r="E6" i="2"/>
  <c r="I6" i="2" s="1"/>
  <c r="G5" i="2"/>
  <c r="F5" i="2"/>
  <c r="E5" i="2"/>
  <c r="I5" i="2" s="1"/>
  <c r="G4" i="2"/>
  <c r="F4" i="2"/>
  <c r="E4" i="2"/>
  <c r="M4" i="2" s="1"/>
  <c r="G3" i="2"/>
  <c r="F3" i="2"/>
  <c r="E3" i="2"/>
  <c r="M3" i="2" s="1"/>
  <c r="Q55" i="7" l="1"/>
  <c r="Q7" i="7"/>
  <c r="Q2" i="7"/>
  <c r="N7" i="2"/>
  <c r="O7" i="2" s="1"/>
  <c r="M5" i="2"/>
  <c r="N5" i="2" s="1"/>
  <c r="O5" i="2" s="1"/>
  <c r="G16" i="2"/>
  <c r="G8" i="2"/>
  <c r="F8" i="2"/>
  <c r="M6" i="2"/>
  <c r="N6" i="2" s="1"/>
  <c r="O6" i="2" s="1"/>
  <c r="I15" i="2"/>
  <c r="N15" i="2" s="1"/>
  <c r="O15" i="2" s="1"/>
  <c r="M14" i="2"/>
  <c r="E16" i="2"/>
  <c r="M8" i="2"/>
  <c r="I4" i="2"/>
  <c r="N4" i="2" s="1"/>
  <c r="O4" i="2" s="1"/>
  <c r="I3" i="2"/>
  <c r="I8" i="2" s="1"/>
  <c r="E8" i="2"/>
  <c r="I16" i="2" l="1"/>
  <c r="M16" i="2"/>
  <c r="N14" i="2"/>
  <c r="N3" i="2"/>
  <c r="N16" i="2" l="1"/>
  <c r="O16" i="2" s="1"/>
  <c r="O14" i="2"/>
  <c r="N8" i="2"/>
  <c r="O8" i="2" s="1"/>
  <c r="O3" i="2"/>
</calcChain>
</file>

<file path=xl/sharedStrings.xml><?xml version="1.0" encoding="utf-8"?>
<sst xmlns="http://schemas.openxmlformats.org/spreadsheetml/2006/main" count="434" uniqueCount="185">
  <si>
    <t>상품정보</t>
    <phoneticPr fontId="3" type="noConversion"/>
  </si>
  <si>
    <t>클라이언트 제공 정보</t>
    <phoneticPr fontId="3" type="noConversion"/>
  </si>
  <si>
    <t>예상 수익 정보</t>
    <phoneticPr fontId="3" type="noConversion"/>
  </si>
  <si>
    <t>상품명</t>
    <phoneticPr fontId="3" type="noConversion"/>
  </si>
  <si>
    <t>권종</t>
    <phoneticPr fontId="3" type="noConversion"/>
  </si>
  <si>
    <t>공급수수료
(vat별도)</t>
    <phoneticPr fontId="3" type="noConversion"/>
  </si>
  <si>
    <t>발송량</t>
    <phoneticPr fontId="3" type="noConversion"/>
  </si>
  <si>
    <t>거래금액</t>
    <phoneticPr fontId="3" type="noConversion"/>
  </si>
  <si>
    <t>할인율</t>
    <phoneticPr fontId="3" type="noConversion"/>
  </si>
  <si>
    <t>할인금액</t>
    <phoneticPr fontId="3" type="noConversion"/>
  </si>
  <si>
    <t>클라이언트 
청구금액</t>
    <phoneticPr fontId="3" type="noConversion"/>
  </si>
  <si>
    <t>예상 공급 수수료 수익</t>
    <phoneticPr fontId="3" type="noConversion"/>
  </si>
  <si>
    <t xml:space="preserve">예상 미교환율 </t>
    <phoneticPr fontId="3" type="noConversion"/>
  </si>
  <si>
    <t>예상 미교환 수익</t>
    <phoneticPr fontId="3" type="noConversion"/>
  </si>
  <si>
    <t>예상 수익</t>
    <phoneticPr fontId="3" type="noConversion"/>
  </si>
  <si>
    <t>예상 수익율</t>
    <phoneticPr fontId="3" type="noConversion"/>
  </si>
  <si>
    <t>합계</t>
    <phoneticPr fontId="3" type="noConversion"/>
  </si>
  <si>
    <t>브랜드</t>
    <phoneticPr fontId="3" type="noConversion"/>
  </si>
  <si>
    <t>청구금액</t>
    <phoneticPr fontId="3" type="noConversion"/>
  </si>
  <si>
    <t xml:space="preserve">판매 수수료 </t>
    <phoneticPr fontId="3" type="noConversion"/>
  </si>
  <si>
    <t>잔액 낙전율</t>
    <phoneticPr fontId="3" type="noConversion"/>
  </si>
  <si>
    <t xml:space="preserve">잔액 낙전 금액 </t>
    <phoneticPr fontId="3" type="noConversion"/>
  </si>
  <si>
    <t xml:space="preserve">미교환율 </t>
    <phoneticPr fontId="3" type="noConversion"/>
  </si>
  <si>
    <t xml:space="preserve">미교환 금액 </t>
    <phoneticPr fontId="3" type="noConversion"/>
  </si>
  <si>
    <t>수익</t>
    <phoneticPr fontId="3" type="noConversion"/>
  </si>
  <si>
    <t>수익율</t>
    <phoneticPr fontId="3" type="noConversion"/>
  </si>
  <si>
    <t>네이버페이 50000원권</t>
  </si>
  <si>
    <t>신세계상품권 5만원권</t>
  </si>
  <si>
    <t>GS25모바일금액상품권5만원</t>
  </si>
  <si>
    <t>컬쳐랜드 모바일문화상품권 50000원권</t>
  </si>
  <si>
    <t>해피콘 5만원권</t>
    <phoneticPr fontId="3" type="noConversion"/>
  </si>
  <si>
    <t>네이버페이 25000원권</t>
    <phoneticPr fontId="3" type="noConversion"/>
  </si>
  <si>
    <t>하이닉스 이천</t>
    <phoneticPr fontId="3" type="noConversion"/>
  </si>
  <si>
    <t>하이닉스 청주</t>
    <phoneticPr fontId="3" type="noConversion"/>
  </si>
  <si>
    <t>발송월</t>
  </si>
  <si>
    <t>발송일</t>
  </si>
  <si>
    <t>이벤트명</t>
  </si>
  <si>
    <t>부서</t>
  </si>
  <si>
    <t>담당자</t>
  </si>
  <si>
    <t>교환처</t>
  </si>
  <si>
    <t>판매상품명</t>
  </si>
  <si>
    <t>정상가</t>
  </si>
  <si>
    <t>공급수수료</t>
  </si>
  <si>
    <t>할인율(PG 포함)</t>
  </si>
  <si>
    <t>발송 수량</t>
  </si>
  <si>
    <t>사용 수량</t>
  </si>
  <si>
    <t>미사용 수량</t>
  </si>
  <si>
    <t>거래금액</t>
  </si>
  <si>
    <t>사용금액</t>
  </si>
  <si>
    <t>미사용금액</t>
  </si>
  <si>
    <t>할인금액</t>
  </si>
  <si>
    <t>미교환율</t>
  </si>
  <si>
    <t xml:space="preserve">수수료 수익 </t>
  </si>
  <si>
    <t>잔액 낙전 수익</t>
  </si>
  <si>
    <t xml:space="preserve">잔액 낙전율 </t>
  </si>
  <si>
    <t>총 수익</t>
  </si>
  <si>
    <t>수익률</t>
  </si>
  <si>
    <t xml:space="preserve">만료일 </t>
  </si>
  <si>
    <t>1월</t>
  </si>
  <si>
    <t>2023.01.16</t>
  </si>
  <si>
    <t>우리카드_기업영업부_우리기업카드 개인사업자 total 이벤트_신세계 발송_이규성</t>
  </si>
  <si>
    <t>기업영업부</t>
  </si>
  <si>
    <t>이규성</t>
  </si>
  <si>
    <t>이마트</t>
  </si>
  <si>
    <t>2.7%</t>
  </si>
  <si>
    <t>3.5%</t>
  </si>
  <si>
    <t>우리카드_기업영업부_우리기업카드 해외매출 프로모션_신세계 발송_이규성</t>
  </si>
  <si>
    <t>2월</t>
  </si>
  <si>
    <t>2023.02.22</t>
  </si>
  <si>
    <t>우리카드_프로세스혁신부_카드배송 민원대응 개선 관련 칭찬 프로모션_신세계 발송_조연수</t>
  </si>
  <si>
    <t>프로세스혁신부</t>
  </si>
  <si>
    <t>조연수</t>
  </si>
  <si>
    <t>5.5%</t>
  </si>
  <si>
    <t>3월</t>
  </si>
  <si>
    <t>2023.03.15</t>
  </si>
  <si>
    <t>4월</t>
  </si>
  <si>
    <t>2023.04.11</t>
  </si>
  <si>
    <t>우리카드_은행영업부_연세대학교 졸업 축하 이벤트_신세계 및 빽다방 발송_이은수 과장</t>
  </si>
  <si>
    <t>은행영업부</t>
  </si>
  <si>
    <t>이은수</t>
  </si>
  <si>
    <t>4.5%</t>
  </si>
  <si>
    <t>6월</t>
  </si>
  <si>
    <t>2023.06.09</t>
  </si>
  <si>
    <t>우리카드_은행영업부_WOW, 팝업스토어 체험판_이희정 계장</t>
  </si>
  <si>
    <t>이희정</t>
  </si>
  <si>
    <t>7월</t>
  </si>
  <si>
    <t>2023.07.06</t>
  </si>
  <si>
    <t>우리카드_은행영업부_코레일네트웍스 개인형 복지카드 이벤트_신세계 상품권 발송_이은수 과장</t>
  </si>
  <si>
    <t>4.94%</t>
  </si>
  <si>
    <t>2023.07.14</t>
  </si>
  <si>
    <t>우리카드_은행영업부_WON 팝업스토어_이희정 계장</t>
  </si>
  <si>
    <t>5.42%</t>
  </si>
  <si>
    <t>상품명</t>
  </si>
  <si>
    <t>공급수수료
(VAT별도)</t>
  </si>
  <si>
    <t>할인율</t>
  </si>
  <si>
    <t>수수료 수익</t>
  </si>
  <si>
    <t>총수익</t>
  </si>
  <si>
    <t>편의점 1만원권</t>
    <phoneticPr fontId="3" type="noConversion"/>
  </si>
  <si>
    <t>신세계 상품권 3만원권</t>
    <phoneticPr fontId="3" type="noConversion"/>
  </si>
  <si>
    <t>신세계 상품권 5만원권</t>
    <phoneticPr fontId="3" type="noConversion"/>
  </si>
  <si>
    <t>순위</t>
  </si>
  <si>
    <t>사업자등록번호</t>
  </si>
  <si>
    <t>업체명</t>
  </si>
  <si>
    <t>대표자명</t>
  </si>
  <si>
    <t>입찰금액(원)</t>
  </si>
  <si>
    <t>투찰률(%)</t>
  </si>
  <si>
    <t>수량</t>
  </si>
  <si>
    <t>추첨번호</t>
  </si>
  <si>
    <t>투찰일시</t>
  </si>
  <si>
    <t>비고</t>
  </si>
  <si>
    <t>834-87-02173</t>
  </si>
  <si>
    <t>우리에스티엠 주식회사</t>
  </si>
  <si>
    <t>신진호</t>
  </si>
  <si>
    <t>07 03</t>
  </si>
  <si>
    <t>정상</t>
  </si>
  <si>
    <t>104-86-33511</t>
  </si>
  <si>
    <t>주식회사 즐거운</t>
  </si>
  <si>
    <t>임관웅</t>
  </si>
  <si>
    <t>09 01</t>
  </si>
  <si>
    <t>105-86-86082</t>
  </si>
  <si>
    <t>주식회사 쿠프마케팅</t>
  </si>
  <si>
    <t>전우정</t>
  </si>
  <si>
    <t>04 15</t>
  </si>
  <si>
    <t>101-81-84108</t>
  </si>
  <si>
    <t>주식회사 이포르테</t>
  </si>
  <si>
    <t>정희현</t>
  </si>
  <si>
    <t>04 06</t>
  </si>
  <si>
    <t>배정예산</t>
    <phoneticPr fontId="3" type="noConversion"/>
  </si>
  <si>
    <t>추정가격</t>
    <phoneticPr fontId="3" type="noConversion"/>
  </si>
  <si>
    <t>25년</t>
    <phoneticPr fontId="3" type="noConversion"/>
  </si>
  <si>
    <t>신세계 상품권 7만원권</t>
    <phoneticPr fontId="3" type="noConversion"/>
  </si>
  <si>
    <t>추정할인율</t>
    <phoneticPr fontId="3" type="noConversion"/>
  </si>
  <si>
    <t>추가 할인율</t>
    <phoneticPr fontId="3" type="noConversion"/>
  </si>
  <si>
    <t>총 할인율</t>
    <phoneticPr fontId="3" type="noConversion"/>
  </si>
  <si>
    <t>11 15</t>
  </si>
  <si>
    <t>11 13</t>
  </si>
  <si>
    <t>01 02</t>
  </si>
  <si>
    <t>220-87-08984</t>
  </si>
  <si>
    <t>주식회사 엠트웰브</t>
  </si>
  <si>
    <t>이용철</t>
  </si>
  <si>
    <t>09 04</t>
  </si>
  <si>
    <t>887-81-02928</t>
  </si>
  <si>
    <t>주식회사 제이디폼</t>
  </si>
  <si>
    <t>홍종국</t>
  </si>
  <si>
    <t>09 10</t>
  </si>
  <si>
    <t>08 11</t>
  </si>
  <si>
    <t>예가초과</t>
  </si>
  <si>
    <t>치킨, 피자 1만원권</t>
    <phoneticPr fontId="3" type="noConversion"/>
  </si>
  <si>
    <t>편의점 1만원권, 신세계 3,5만원권</t>
    <phoneticPr fontId="3" type="noConversion"/>
  </si>
  <si>
    <r>
      <t>24</t>
    </r>
    <r>
      <rPr>
        <sz val="11"/>
        <color theme="1"/>
        <rFont val="맑은 고딕"/>
        <family val="2"/>
        <charset val="129"/>
      </rPr>
      <t>년</t>
    </r>
    <phoneticPr fontId="3" type="noConversion"/>
  </si>
  <si>
    <t>투찰가</t>
    <phoneticPr fontId="3" type="noConversion"/>
  </si>
  <si>
    <r>
      <t>24</t>
    </r>
    <r>
      <rPr>
        <sz val="11"/>
        <color rgb="FF191919"/>
        <rFont val="맑은 고딕"/>
        <family val="2"/>
        <charset val="129"/>
      </rPr>
      <t>년</t>
    </r>
    <phoneticPr fontId="3" type="noConversion"/>
  </si>
  <si>
    <t>24년 군인공제회 기초금액</t>
  </si>
  <si>
    <t>즐거운</t>
  </si>
  <si>
    <t>쿠프</t>
  </si>
  <si>
    <t>금액</t>
    <phoneticPr fontId="3" type="noConversion"/>
  </si>
  <si>
    <t>수량</t>
    <phoneticPr fontId="3" type="noConversion"/>
  </si>
  <si>
    <t>씨유</t>
    <phoneticPr fontId="3" type="noConversion"/>
  </si>
  <si>
    <t>지에스</t>
    <phoneticPr fontId="3" type="noConversion"/>
  </si>
  <si>
    <t>이마트</t>
    <phoneticPr fontId="3" type="noConversion"/>
  </si>
  <si>
    <t>신세계</t>
    <phoneticPr fontId="3" type="noConversion"/>
  </si>
  <si>
    <t>기본 할인(1.7%) + 추가 할인(4.33%) = 6.03% 기준</t>
    <phoneticPr fontId="3" type="noConversion"/>
  </si>
  <si>
    <r>
      <t xml:space="preserve">24년도 입찰
</t>
    </r>
    <r>
      <rPr>
        <b/>
        <sz val="28"/>
        <color rgb="FFFF0000"/>
        <rFont val="맑은 고딕"/>
        <family val="3"/>
        <charset val="129"/>
        <scheme val="minor"/>
      </rPr>
      <t xml:space="preserve">1. 에스티엠 = 6.4%
</t>
    </r>
    <r>
      <rPr>
        <b/>
        <sz val="28"/>
        <color theme="1"/>
        <rFont val="맑은 고딕"/>
        <family val="3"/>
        <charset val="129"/>
        <scheme val="minor"/>
      </rPr>
      <t>2. 즐거운 = 5.5%
3. 쿠프 = 4.5%</t>
    </r>
    <phoneticPr fontId="3" type="noConversion"/>
  </si>
  <si>
    <t>5.7% (실장님 가이드)</t>
    <phoneticPr fontId="3" type="noConversion"/>
  </si>
  <si>
    <t>확정</t>
    <phoneticPr fontId="3" type="noConversion"/>
  </si>
  <si>
    <t>정산금액</t>
    <phoneticPr fontId="3" type="noConversion"/>
  </si>
  <si>
    <t>기본할인(1.7%) + 추가 할인(5.71%) = 7.4% 기준</t>
    <phoneticPr fontId="3" type="noConversion"/>
  </si>
  <si>
    <t>예상 수익 정보(부정)</t>
    <phoneticPr fontId="3" type="noConversion"/>
  </si>
  <si>
    <t>긍정</t>
    <phoneticPr fontId="3" type="noConversion"/>
  </si>
  <si>
    <t>부정</t>
    <phoneticPr fontId="3" type="noConversion"/>
  </si>
  <si>
    <t>버거킹 와퍼세트</t>
    <phoneticPr fontId="3" type="noConversion"/>
  </si>
  <si>
    <t>메가커피</t>
    <phoneticPr fontId="3" type="noConversion"/>
  </si>
  <si>
    <t>아메리카노</t>
    <phoneticPr fontId="3" type="noConversion"/>
  </si>
  <si>
    <t>커피세트</t>
    <phoneticPr fontId="3" type="noConversion"/>
  </si>
  <si>
    <t>치킨</t>
    <phoneticPr fontId="3" type="noConversion"/>
  </si>
  <si>
    <r>
      <t xml:space="preserve">군인공제회_할인율 7%
우리카드 미교환율 참고
</t>
    </r>
    <r>
      <rPr>
        <b/>
        <sz val="18"/>
        <color rgb="FF002060"/>
        <rFont val="맑은 고딕"/>
        <family val="3"/>
        <charset val="129"/>
        <scheme val="minor"/>
      </rPr>
      <t>거래금액 약 20억원 / 수익률 2% = 3천8백만원 가량</t>
    </r>
    <phoneticPr fontId="3" type="noConversion"/>
  </si>
  <si>
    <r>
      <t xml:space="preserve">군인공제회_할인율 7%
미교환율 보수적으로 측정
</t>
    </r>
    <r>
      <rPr>
        <b/>
        <sz val="18"/>
        <color rgb="FFFF0000"/>
        <rFont val="맑은 고딕"/>
        <family val="3"/>
        <charset val="129"/>
        <scheme val="minor"/>
      </rPr>
      <t xml:space="preserve">거래금액 약 20억원 / 수익률 -1.7% = -3천4백만원 가량
</t>
    </r>
    <r>
      <rPr>
        <b/>
        <sz val="18"/>
        <color rgb="FF0070C0"/>
        <rFont val="맑은 고딕"/>
        <family val="3"/>
        <charset val="129"/>
        <scheme val="minor"/>
      </rPr>
      <t>군인공제회_마케팅 소개</t>
    </r>
    <r>
      <rPr>
        <b/>
        <sz val="18"/>
        <color theme="1"/>
        <rFont val="맑은 고딕"/>
        <family val="3"/>
        <charset val="129"/>
        <scheme val="minor"/>
      </rPr>
      <t xml:space="preserve">
연간 6회 발송 약 5억원 규모
햄버거, 커피, 치킨 등 발송(현재 쿠프에서 B2B 진행 중)
수익률 10% 가정하여 산정
거래금액 약 4.6억원 / 수익률 9% = 4천만원 가량
</t>
    </r>
    <r>
      <rPr>
        <b/>
        <sz val="18"/>
        <color rgb="FF0070C0"/>
        <rFont val="맑은 고딕"/>
        <family val="3"/>
        <charset val="129"/>
        <scheme val="minor"/>
      </rPr>
      <t>군인공제회_홍보팅 소개</t>
    </r>
    <r>
      <rPr>
        <b/>
        <sz val="18"/>
        <color theme="1"/>
        <rFont val="맑은 고딕"/>
        <family val="3"/>
        <charset val="129"/>
        <scheme val="minor"/>
      </rPr>
      <t xml:space="preserve">
군인공제회 APP 다운로드 10만+ 이상
MAU(5~20%) 약 1만명 추정
기프트샵 입점 B2C 판매 수익률 3% 가정
전환율 5% / 건당 구매액 10,000원
거래금액 약 500만원 / 수익률 3% = 150만원 가량</t>
    </r>
    <phoneticPr fontId="3" type="noConversion"/>
  </si>
  <si>
    <r>
      <t xml:space="preserve">정리
군인공제회 회원복지 = -3천4백
군인공제회 마케팅 = 4천
군인공제회 APP = 150만원
</t>
    </r>
    <r>
      <rPr>
        <b/>
        <sz val="18"/>
        <color rgb="FFFF0000"/>
        <rFont val="맑은 고딕"/>
        <family val="3"/>
        <charset val="129"/>
        <scheme val="minor"/>
      </rPr>
      <t>총 거래금액 약 24억원 / 수익률 0.3% (750만원 가량)</t>
    </r>
    <phoneticPr fontId="3" type="noConversion"/>
  </si>
  <si>
    <t>신세계 상품권 10만원권</t>
    <phoneticPr fontId="3" type="noConversion"/>
  </si>
  <si>
    <t>신세계 상품권 15만원권</t>
    <phoneticPr fontId="3" type="noConversion"/>
  </si>
  <si>
    <t>신세계 상품권 20만원권</t>
    <phoneticPr fontId="3" type="noConversion"/>
  </si>
  <si>
    <t>신세계 상품권 25만원권</t>
    <phoneticPr fontId="3" type="noConversion"/>
  </si>
  <si>
    <t>신세계 상품권 30만원권</t>
    <phoneticPr fontId="3" type="noConversion"/>
  </si>
  <si>
    <t>신세계 상품권 35만원권</t>
    <phoneticPr fontId="3" type="noConversion"/>
  </si>
  <si>
    <t>단가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</si>
</sst>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0.000%"/>
    <numFmt numFmtId="178" formatCode="0.0000000000000000%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 tint="-4.9989318521683403E-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i/>
      <sz val="12"/>
      <color rgb="FF1F1F1F"/>
      <name val="Arial"/>
      <family val="2"/>
    </font>
    <font>
      <b/>
      <sz val="12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191919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191919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8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rgb="FF0070C0"/>
      <name val="맑은 고딕"/>
      <family val="3"/>
      <charset val="129"/>
      <scheme val="minor"/>
    </font>
    <font>
      <b/>
      <sz val="18"/>
      <color rgb="FF00206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707070"/>
      </bottom>
      <diagonal/>
    </border>
    <border>
      <left style="medium">
        <color rgb="FFCECECE"/>
      </left>
      <right/>
      <top style="medium">
        <color rgb="FFCECECE"/>
      </top>
      <bottom style="medium">
        <color rgb="FF707070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/>
      <top style="medium">
        <color rgb="FFCECECE"/>
      </top>
      <bottom style="medium">
        <color rgb="FFCECECE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41" fontId="4" fillId="5" borderId="7" xfId="0" applyNumberFormat="1" applyFont="1" applyFill="1" applyBorder="1" applyAlignment="1">
      <alignment horizontal="center" vertical="center"/>
    </xf>
    <xf numFmtId="41" fontId="6" fillId="0" borderId="7" xfId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176" fontId="6" fillId="0" borderId="8" xfId="0" applyNumberFormat="1" applyFont="1" applyBorder="1" applyAlignment="1">
      <alignment horizontal="center" vertical="center"/>
    </xf>
    <xf numFmtId="41" fontId="6" fillId="0" borderId="9" xfId="1" applyFont="1" applyBorder="1" applyAlignment="1">
      <alignment horizontal="center" vertical="center"/>
    </xf>
    <xf numFmtId="41" fontId="6" fillId="0" borderId="8" xfId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41" fontId="6" fillId="0" borderId="7" xfId="1" applyFont="1" applyBorder="1" applyAlignment="1">
      <alignment horizontal="center" vertical="center"/>
    </xf>
    <xf numFmtId="10" fontId="4" fillId="7" borderId="9" xfId="2" applyNumberFormat="1" applyFont="1" applyFill="1" applyBorder="1" applyAlignment="1">
      <alignment horizontal="center" vertical="center"/>
    </xf>
    <xf numFmtId="41" fontId="2" fillId="8" borderId="14" xfId="0" applyNumberFormat="1" applyFont="1" applyFill="1" applyBorder="1">
      <alignment vertical="center"/>
    </xf>
    <xf numFmtId="0" fontId="2" fillId="8" borderId="13" xfId="0" applyFont="1" applyFill="1" applyBorder="1">
      <alignment vertical="center"/>
    </xf>
    <xf numFmtId="41" fontId="2" fillId="8" borderId="15" xfId="0" applyNumberFormat="1" applyFont="1" applyFill="1" applyBorder="1">
      <alignment vertical="center"/>
    </xf>
    <xf numFmtId="10" fontId="4" fillId="7" borderId="16" xfId="2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9" fontId="0" fillId="0" borderId="0" xfId="2" applyFont="1">
      <alignment vertical="center"/>
    </xf>
    <xf numFmtId="41" fontId="0" fillId="0" borderId="0" xfId="2" applyNumberFormat="1" applyFont="1">
      <alignment vertical="center"/>
    </xf>
    <xf numFmtId="41" fontId="0" fillId="0" borderId="0" xfId="1" applyFont="1">
      <alignment vertical="center"/>
    </xf>
    <xf numFmtId="176" fontId="6" fillId="0" borderId="7" xfId="1" applyNumberFormat="1" applyFont="1" applyFill="1" applyBorder="1" applyAlignment="1">
      <alignment horizontal="center" vertical="center"/>
    </xf>
    <xf numFmtId="9" fontId="7" fillId="0" borderId="0" xfId="2" applyFont="1">
      <alignment vertical="center"/>
    </xf>
    <xf numFmtId="0" fontId="0" fillId="0" borderId="7" xfId="0" applyBorder="1" applyAlignment="1">
      <alignment horizontal="center" vertical="center"/>
    </xf>
    <xf numFmtId="10" fontId="6" fillId="0" borderId="7" xfId="1" applyNumberFormat="1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176" fontId="0" fillId="0" borderId="7" xfId="2" applyNumberFormat="1" applyFont="1" applyBorder="1">
      <alignment vertical="center"/>
    </xf>
    <xf numFmtId="41" fontId="4" fillId="0" borderId="7" xfId="1" applyFont="1" applyBorder="1" applyAlignment="1">
      <alignment horizontal="center" vertical="center"/>
    </xf>
    <xf numFmtId="10" fontId="4" fillId="7" borderId="7" xfId="2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10" fontId="0" fillId="0" borderId="7" xfId="2" applyNumberFormat="1" applyFont="1" applyBorder="1">
      <alignment vertical="center"/>
    </xf>
    <xf numFmtId="9" fontId="2" fillId="8" borderId="7" xfId="2" applyFont="1" applyFill="1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41" fontId="10" fillId="9" borderId="7" xfId="1" applyFont="1" applyFill="1" applyBorder="1" applyAlignment="1">
      <alignment horizontal="center" vertical="center"/>
    </xf>
    <xf numFmtId="10" fontId="10" fillId="9" borderId="7" xfId="1" applyNumberFormat="1" applyFont="1" applyFill="1" applyBorder="1" applyAlignment="1">
      <alignment horizontal="center" vertical="center"/>
    </xf>
    <xf numFmtId="176" fontId="10" fillId="9" borderId="7" xfId="0" applyNumberFormat="1" applyFont="1" applyFill="1" applyBorder="1" applyAlignment="1">
      <alignment horizontal="center" vertical="center"/>
    </xf>
    <xf numFmtId="10" fontId="10" fillId="9" borderId="7" xfId="2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41" fontId="4" fillId="10" borderId="7" xfId="0" applyNumberFormat="1" applyFont="1" applyFill="1" applyBorder="1" applyAlignment="1">
      <alignment horizontal="center" vertical="center"/>
    </xf>
    <xf numFmtId="41" fontId="2" fillId="10" borderId="7" xfId="0" applyNumberFormat="1" applyFont="1" applyFill="1" applyBorder="1">
      <alignment vertical="center"/>
    </xf>
    <xf numFmtId="0" fontId="2" fillId="10" borderId="7" xfId="0" applyFont="1" applyFill="1" applyBorder="1">
      <alignment vertical="center"/>
    </xf>
    <xf numFmtId="10" fontId="4" fillId="10" borderId="17" xfId="2" applyNumberFormat="1" applyFont="1" applyFill="1" applyBorder="1" applyAlignment="1">
      <alignment horizontal="center" vertical="center"/>
    </xf>
    <xf numFmtId="42" fontId="2" fillId="8" borderId="7" xfId="3" applyFont="1" applyFill="1" applyBorder="1" applyAlignment="1">
      <alignment horizontal="center" vertical="center"/>
    </xf>
    <xf numFmtId="42" fontId="0" fillId="0" borderId="0" xfId="3" applyFont="1">
      <alignment vertical="center"/>
    </xf>
    <xf numFmtId="9" fontId="11" fillId="0" borderId="7" xfId="2" applyFont="1" applyBorder="1" applyAlignment="1">
      <alignment horizontal="center" vertical="center"/>
    </xf>
    <xf numFmtId="42" fontId="11" fillId="0" borderId="7" xfId="3" applyFont="1" applyBorder="1" applyAlignment="1">
      <alignment horizontal="center" vertical="center"/>
    </xf>
    <xf numFmtId="9" fontId="9" fillId="9" borderId="7" xfId="2" applyFont="1" applyFill="1" applyBorder="1" applyAlignment="1">
      <alignment horizontal="center" vertical="center"/>
    </xf>
    <xf numFmtId="9" fontId="10" fillId="6" borderId="7" xfId="2" applyFont="1" applyFill="1" applyBorder="1" applyAlignment="1">
      <alignment horizontal="center" vertical="center"/>
    </xf>
    <xf numFmtId="9" fontId="9" fillId="6" borderId="7" xfId="2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10" fontId="10" fillId="6" borderId="7" xfId="2" applyNumberFormat="1" applyFont="1" applyFill="1" applyBorder="1">
      <alignment vertical="center"/>
    </xf>
    <xf numFmtId="176" fontId="10" fillId="6" borderId="7" xfId="2" applyNumberFormat="1" applyFont="1" applyFill="1" applyBorder="1">
      <alignment vertical="center"/>
    </xf>
    <xf numFmtId="41" fontId="10" fillId="6" borderId="7" xfId="1" applyFont="1" applyFill="1" applyBorder="1">
      <alignment vertical="center"/>
    </xf>
    <xf numFmtId="0" fontId="12" fillId="11" borderId="18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center" vertical="center"/>
    </xf>
    <xf numFmtId="0" fontId="13" fillId="11" borderId="20" xfId="0" applyFont="1" applyFill="1" applyBorder="1" applyAlignment="1">
      <alignment horizontal="left" vertical="center"/>
    </xf>
    <xf numFmtId="3" fontId="13" fillId="11" borderId="20" xfId="0" applyNumberFormat="1" applyFont="1" applyFill="1" applyBorder="1" applyAlignment="1">
      <alignment horizontal="right" vertical="center"/>
    </xf>
    <xf numFmtId="0" fontId="13" fillId="11" borderId="20" xfId="0" applyFont="1" applyFill="1" applyBorder="1" applyAlignment="1">
      <alignment horizontal="right" vertical="center"/>
    </xf>
    <xf numFmtId="22" fontId="13" fillId="11" borderId="20" xfId="0" applyNumberFormat="1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left" vertical="center"/>
    </xf>
    <xf numFmtId="0" fontId="12" fillId="12" borderId="20" xfId="0" applyFont="1" applyFill="1" applyBorder="1" applyAlignment="1">
      <alignment horizontal="center" vertical="center"/>
    </xf>
    <xf numFmtId="22" fontId="12" fillId="12" borderId="20" xfId="0" applyNumberFormat="1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left" vertical="center"/>
    </xf>
    <xf numFmtId="3" fontId="12" fillId="11" borderId="20" xfId="0" applyNumberFormat="1" applyFont="1" applyFill="1" applyBorder="1" applyAlignment="1">
      <alignment horizontal="right" vertical="center"/>
    </xf>
    <xf numFmtId="0" fontId="12" fillId="11" borderId="20" xfId="0" applyFont="1" applyFill="1" applyBorder="1" applyAlignment="1">
      <alignment horizontal="right" vertical="center"/>
    </xf>
    <xf numFmtId="22" fontId="12" fillId="11" borderId="20" xfId="0" applyNumberFormat="1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left" vertical="center"/>
    </xf>
    <xf numFmtId="3" fontId="13" fillId="11" borderId="20" xfId="0" applyNumberFormat="1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3" fontId="12" fillId="12" borderId="20" xfId="0" applyNumberFormat="1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horizontal="center" vertical="center"/>
    </xf>
    <xf numFmtId="3" fontId="12" fillId="11" borderId="20" xfId="0" applyNumberFormat="1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0" xfId="2" applyNumberFormat="1" applyFont="1">
      <alignment vertical="center"/>
    </xf>
    <xf numFmtId="10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2" fillId="13" borderId="22" xfId="0" applyFont="1" applyFill="1" applyBorder="1" applyAlignment="1">
      <alignment horizontal="center" vertical="center"/>
    </xf>
    <xf numFmtId="0" fontId="14" fillId="11" borderId="2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2" applyNumberFormat="1" applyFont="1" applyAlignment="1">
      <alignment horizontal="center" vertical="center"/>
    </xf>
    <xf numFmtId="176" fontId="2" fillId="0" borderId="0" xfId="2" applyNumberFormat="1" applyFont="1" applyAlignment="1">
      <alignment horizontal="center" vertical="center"/>
    </xf>
    <xf numFmtId="176" fontId="2" fillId="8" borderId="7" xfId="2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0" fontId="12" fillId="11" borderId="24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0" fillId="0" borderId="23" xfId="0" applyBorder="1">
      <alignment vertical="center"/>
    </xf>
    <xf numFmtId="176" fontId="0" fillId="13" borderId="7" xfId="0" applyNumberFormat="1" applyFill="1" applyBorder="1" applyAlignment="1">
      <alignment horizontal="center" vertical="center"/>
    </xf>
    <xf numFmtId="176" fontId="0" fillId="0" borderId="7" xfId="2" applyNumberFormat="1" applyFont="1" applyBorder="1" applyAlignment="1">
      <alignment horizontal="center" vertical="center"/>
    </xf>
    <xf numFmtId="41" fontId="0" fillId="0" borderId="23" xfId="1" applyFont="1" applyBorder="1" applyAlignment="1">
      <alignment horizontal="center" vertical="center"/>
    </xf>
    <xf numFmtId="176" fontId="0" fillId="13" borderId="7" xfId="2" applyNumberFormat="1" applyFont="1" applyFill="1" applyBorder="1" applyAlignment="1">
      <alignment horizontal="center" vertical="center"/>
    </xf>
    <xf numFmtId="9" fontId="0" fillId="0" borderId="7" xfId="0" applyNumberFormat="1" applyBorder="1">
      <alignment vertical="center"/>
    </xf>
    <xf numFmtId="41" fontId="0" fillId="0" borderId="7" xfId="0" applyNumberFormat="1" applyBorder="1">
      <alignment vertical="center"/>
    </xf>
    <xf numFmtId="41" fontId="0" fillId="14" borderId="7" xfId="0" applyNumberFormat="1" applyFill="1" applyBorder="1">
      <alignment vertical="center"/>
    </xf>
    <xf numFmtId="10" fontId="0" fillId="0" borderId="7" xfId="0" applyNumberFormat="1" applyBorder="1">
      <alignment vertical="center"/>
    </xf>
    <xf numFmtId="0" fontId="0" fillId="8" borderId="7" xfId="0" applyFill="1" applyBorder="1">
      <alignment vertical="center"/>
    </xf>
    <xf numFmtId="41" fontId="0" fillId="8" borderId="7" xfId="0" applyNumberFormat="1" applyFill="1" applyBorder="1">
      <alignment vertical="center"/>
    </xf>
    <xf numFmtId="10" fontId="0" fillId="8" borderId="7" xfId="2" applyNumberFormat="1" applyFont="1" applyFill="1" applyBorder="1">
      <alignment vertical="center"/>
    </xf>
    <xf numFmtId="0" fontId="2" fillId="5" borderId="7" xfId="0" applyFont="1" applyFill="1" applyBorder="1">
      <alignment vertical="center"/>
    </xf>
    <xf numFmtId="0" fontId="17" fillId="5" borderId="7" xfId="0" applyFont="1" applyFill="1" applyBorder="1">
      <alignment vertical="center"/>
    </xf>
    <xf numFmtId="176" fontId="0" fillId="0" borderId="7" xfId="0" applyNumberFormat="1" applyBorder="1">
      <alignment vertical="center"/>
    </xf>
    <xf numFmtId="41" fontId="6" fillId="0" borderId="0" xfId="1" applyFont="1" applyFill="1" applyBorder="1" applyAlignment="1">
      <alignment horizontal="center" vertical="center"/>
    </xf>
    <xf numFmtId="41" fontId="11" fillId="0" borderId="0" xfId="1" applyFont="1">
      <alignment vertical="center"/>
    </xf>
    <xf numFmtId="177" fontId="0" fillId="8" borderId="7" xfId="2" applyNumberFormat="1" applyFont="1" applyFill="1" applyBorder="1">
      <alignment vertical="center"/>
    </xf>
    <xf numFmtId="178" fontId="0" fillId="0" borderId="0" xfId="0" applyNumberFormat="1">
      <alignment vertical="center"/>
    </xf>
    <xf numFmtId="0" fontId="22" fillId="0" borderId="0" xfId="0" applyFont="1">
      <alignment vertical="center"/>
    </xf>
    <xf numFmtId="10" fontId="6" fillId="0" borderId="8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9" fontId="2" fillId="4" borderId="2" xfId="2" applyFont="1" applyFill="1" applyBorder="1" applyAlignment="1">
      <alignment horizontal="center" vertical="center"/>
    </xf>
    <xf numFmtId="9" fontId="2" fillId="4" borderId="3" xfId="2" applyFont="1" applyFill="1" applyBorder="1" applyAlignment="1">
      <alignment horizontal="center" vertical="center"/>
    </xf>
    <xf numFmtId="9" fontId="2" fillId="4" borderId="8" xfId="2" applyFont="1" applyFill="1" applyBorder="1" applyAlignment="1">
      <alignment horizontal="center" vertical="center"/>
    </xf>
    <xf numFmtId="9" fontId="2" fillId="4" borderId="7" xfId="2" applyFont="1" applyFill="1" applyBorder="1" applyAlignment="1">
      <alignment horizontal="center" vertical="center"/>
    </xf>
    <xf numFmtId="9" fontId="2" fillId="4" borderId="9" xfId="2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41" fontId="18" fillId="0" borderId="4" xfId="1" applyFont="1" applyBorder="1" applyAlignment="1">
      <alignment horizontal="center" vertical="center"/>
    </xf>
    <xf numFmtId="41" fontId="18" fillId="0" borderId="5" xfId="1" applyFont="1" applyBorder="1" applyAlignment="1">
      <alignment horizontal="center" vertical="center"/>
    </xf>
    <xf numFmtId="41" fontId="18" fillId="0" borderId="6" xfId="1" applyFont="1" applyBorder="1" applyAlignment="1">
      <alignment horizontal="center" vertical="center"/>
    </xf>
    <xf numFmtId="41" fontId="18" fillId="0" borderId="25" xfId="1" applyFont="1" applyBorder="1" applyAlignment="1">
      <alignment horizontal="center" vertical="center"/>
    </xf>
    <xf numFmtId="41" fontId="18" fillId="0" borderId="26" xfId="1" applyFont="1" applyBorder="1" applyAlignment="1">
      <alignment horizontal="center" vertical="center"/>
    </xf>
    <xf numFmtId="41" fontId="18" fillId="0" borderId="27" xfId="1" applyFont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30" xfId="0" applyFont="1" applyBorder="1" applyAlignment="1">
      <alignment horizontal="left" vertical="top" wrapText="1"/>
    </xf>
    <xf numFmtId="0" fontId="18" fillId="0" borderId="31" xfId="0" applyFont="1" applyBorder="1" applyAlignment="1">
      <alignment horizontal="left" vertical="top" wrapText="1"/>
    </xf>
    <xf numFmtId="0" fontId="18" fillId="0" borderId="32" xfId="0" applyFont="1" applyBorder="1" applyAlignment="1">
      <alignment horizontal="left" vertical="top" wrapText="1"/>
    </xf>
    <xf numFmtId="0" fontId="18" fillId="0" borderId="33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34" xfId="0" applyFont="1" applyBorder="1" applyAlignment="1">
      <alignment horizontal="left" vertical="top" wrapText="1"/>
    </xf>
    <xf numFmtId="0" fontId="18" fillId="0" borderId="35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36" xfId="0" applyFont="1" applyBorder="1" applyAlignment="1">
      <alignment horizontal="left" vertical="top" wrapText="1"/>
    </xf>
    <xf numFmtId="0" fontId="2" fillId="8" borderId="37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top"/>
    </xf>
    <xf numFmtId="0" fontId="18" fillId="0" borderId="32" xfId="0" applyFont="1" applyBorder="1" applyAlignment="1">
      <alignment horizontal="left" vertical="top"/>
    </xf>
    <xf numFmtId="0" fontId="18" fillId="0" borderId="33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/>
    </xf>
    <xf numFmtId="0" fontId="18" fillId="0" borderId="36" xfId="0" applyFont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9" fontId="2" fillId="4" borderId="4" xfId="2" applyFont="1" applyFill="1" applyBorder="1" applyAlignment="1">
      <alignment horizontal="center" vertical="center"/>
    </xf>
    <xf numFmtId="9" fontId="2" fillId="4" borderId="5" xfId="2" applyFont="1" applyFill="1" applyBorder="1" applyAlignment="1">
      <alignment horizontal="center" vertical="center"/>
    </xf>
    <xf numFmtId="9" fontId="2" fillId="4" borderId="6" xfId="2" applyFont="1" applyFill="1" applyBorder="1" applyAlignment="1">
      <alignment horizontal="center" vertical="center"/>
    </xf>
    <xf numFmtId="9" fontId="2" fillId="4" borderId="10" xfId="2" applyFont="1" applyFill="1" applyBorder="1" applyAlignment="1">
      <alignment horizontal="center" vertical="center"/>
    </xf>
    <xf numFmtId="9" fontId="2" fillId="4" borderId="11" xfId="2" applyFont="1" applyFill="1" applyBorder="1" applyAlignment="1">
      <alignment horizontal="center" vertical="center"/>
    </xf>
    <xf numFmtId="9" fontId="2" fillId="4" borderId="12" xfId="2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10" borderId="7" xfId="0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통화 [0]" xfId="3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39C0-E36C-4AE6-B855-2A383C80F757}">
  <dimension ref="A1:S27"/>
  <sheetViews>
    <sheetView showGridLines="0" zoomScale="70" zoomScaleNormal="70" zoomScaleSheetLayoutView="85" workbookViewId="0">
      <selection activeCell="I15" sqref="I15"/>
    </sheetView>
  </sheetViews>
  <sheetFormatPr defaultRowHeight="16.5" x14ac:dyDescent="0.3"/>
  <cols>
    <col min="1" max="1" width="43" customWidth="1"/>
    <col min="2" max="2" width="12.875" bestFit="1" customWidth="1"/>
    <col min="3" max="3" width="13.625" customWidth="1"/>
    <col min="4" max="4" width="13.125" customWidth="1"/>
    <col min="5" max="5" width="16.75" customWidth="1"/>
    <col min="6" max="6" width="9.75" customWidth="1"/>
    <col min="7" max="7" width="15.125" bestFit="1" customWidth="1"/>
    <col min="8" max="8" width="17.625" customWidth="1"/>
    <col min="9" max="9" width="23.625" customWidth="1"/>
    <col min="10" max="10" width="14.875" customWidth="1"/>
    <col min="11" max="11" width="19.375" customWidth="1"/>
    <col min="12" max="12" width="15" customWidth="1"/>
    <col min="13" max="13" width="13.75" customWidth="1"/>
    <col min="14" max="14" width="9.875" customWidth="1"/>
    <col min="15" max="15" width="21" bestFit="1" customWidth="1"/>
  </cols>
  <sheetData>
    <row r="1" spans="1:19" s="1" customFormat="1" ht="16.5" customHeight="1" x14ac:dyDescent="0.3">
      <c r="A1" s="133" t="s">
        <v>0</v>
      </c>
      <c r="B1" s="134"/>
      <c r="C1" s="134"/>
      <c r="D1" s="134"/>
      <c r="E1" s="135"/>
      <c r="F1" s="139" t="s">
        <v>1</v>
      </c>
      <c r="G1" s="140"/>
      <c r="H1" s="141"/>
      <c r="I1" s="145" t="s">
        <v>2</v>
      </c>
      <c r="J1" s="146"/>
      <c r="K1" s="146"/>
      <c r="L1" s="146"/>
      <c r="M1" s="147"/>
      <c r="O1" s="151" t="s">
        <v>162</v>
      </c>
      <c r="P1" s="152"/>
      <c r="Q1" s="152"/>
      <c r="R1" s="152"/>
      <c r="S1" s="153"/>
    </row>
    <row r="2" spans="1:19" s="1" customFormat="1" ht="16.5" customHeight="1" x14ac:dyDescent="0.3">
      <c r="A2" s="136"/>
      <c r="B2" s="137"/>
      <c r="C2" s="137"/>
      <c r="D2" s="137"/>
      <c r="E2" s="138"/>
      <c r="F2" s="142"/>
      <c r="G2" s="143"/>
      <c r="H2" s="144"/>
      <c r="I2" s="148"/>
      <c r="J2" s="149"/>
      <c r="K2" s="149"/>
      <c r="L2" s="149"/>
      <c r="M2" s="150"/>
      <c r="O2" s="154"/>
      <c r="P2" s="155"/>
      <c r="Q2" s="155"/>
      <c r="R2" s="155"/>
      <c r="S2" s="156"/>
    </row>
    <row r="3" spans="1:19" ht="34.5" x14ac:dyDescent="0.3">
      <c r="A3" s="2" t="s">
        <v>3</v>
      </c>
      <c r="B3" s="3" t="s">
        <v>4</v>
      </c>
      <c r="C3" s="4" t="s">
        <v>5</v>
      </c>
      <c r="D3" s="3" t="s">
        <v>6</v>
      </c>
      <c r="E3" s="5" t="s">
        <v>7</v>
      </c>
      <c r="F3" s="2" t="s">
        <v>8</v>
      </c>
      <c r="G3" s="6" t="s">
        <v>9</v>
      </c>
      <c r="H3" s="7" t="s">
        <v>10</v>
      </c>
      <c r="I3" s="2" t="s">
        <v>11</v>
      </c>
      <c r="J3" s="3" t="s">
        <v>12</v>
      </c>
      <c r="K3" s="8" t="s">
        <v>13</v>
      </c>
      <c r="L3" s="8" t="s">
        <v>14</v>
      </c>
      <c r="M3" s="5" t="s">
        <v>15</v>
      </c>
      <c r="O3" s="154"/>
      <c r="P3" s="155"/>
      <c r="Q3" s="155"/>
      <c r="R3" s="155"/>
      <c r="S3" s="156"/>
    </row>
    <row r="4" spans="1:19" ht="40.5" customHeight="1" x14ac:dyDescent="0.3">
      <c r="A4" s="9" t="s">
        <v>97</v>
      </c>
      <c r="B4" s="10">
        <v>10000</v>
      </c>
      <c r="C4" s="25">
        <v>0.02</v>
      </c>
      <c r="D4" s="9">
        <v>17431</v>
      </c>
      <c r="E4" s="9">
        <f t="shared" ref="E4:E7" si="0">B4*D4</f>
        <v>174310000</v>
      </c>
      <c r="F4" s="11">
        <v>0.15</v>
      </c>
      <c r="G4" s="9">
        <f t="shared" ref="G4:G7" si="1">F4*E4</f>
        <v>26146500</v>
      </c>
      <c r="H4" s="12">
        <f>(B4-(B4*F4))*D4</f>
        <v>148163500</v>
      </c>
      <c r="I4" s="13">
        <f t="shared" ref="I4:I7" si="2">((1-J4)*D4*B4)*C4</f>
        <v>3137580</v>
      </c>
      <c r="J4" s="14">
        <v>0.1</v>
      </c>
      <c r="K4" s="9">
        <f>J4*E4</f>
        <v>17431000</v>
      </c>
      <c r="L4" s="15">
        <f>(K4+I4)-G4</f>
        <v>-5577920</v>
      </c>
      <c r="M4" s="16">
        <f t="shared" ref="M4:M9" si="3">L4/E4</f>
        <v>-3.2000000000000001E-2</v>
      </c>
      <c r="O4" s="154"/>
      <c r="P4" s="155"/>
      <c r="Q4" s="155"/>
      <c r="R4" s="155"/>
      <c r="S4" s="156"/>
    </row>
    <row r="5" spans="1:19" ht="40.5" customHeight="1" x14ac:dyDescent="0.3">
      <c r="A5" s="9" t="s">
        <v>98</v>
      </c>
      <c r="B5" s="10">
        <v>30000</v>
      </c>
      <c r="C5" s="25">
        <v>2.7E-2</v>
      </c>
      <c r="D5" s="9">
        <v>7208</v>
      </c>
      <c r="E5" s="9">
        <f t="shared" si="0"/>
        <v>216240000</v>
      </c>
      <c r="F5" s="11">
        <v>7.0000000000000007E-2</v>
      </c>
      <c r="G5" s="9">
        <f t="shared" si="1"/>
        <v>15136800.000000002</v>
      </c>
      <c r="H5" s="12">
        <f t="shared" ref="H5:H7" si="4">(B5-(B5*F5))*D5</f>
        <v>201103200</v>
      </c>
      <c r="I5" s="13">
        <f t="shared" si="2"/>
        <v>5838480</v>
      </c>
      <c r="J5" s="14">
        <v>0</v>
      </c>
      <c r="K5" s="9">
        <f t="shared" ref="K5:K7" si="5">J5*E5</f>
        <v>0</v>
      </c>
      <c r="L5" s="15">
        <f t="shared" ref="L5:L7" si="6">(K5+I5)-G5</f>
        <v>-9298320.0000000019</v>
      </c>
      <c r="M5" s="16">
        <f t="shared" si="3"/>
        <v>-4.300000000000001E-2</v>
      </c>
      <c r="O5" s="154"/>
      <c r="P5" s="155"/>
      <c r="Q5" s="155"/>
      <c r="R5" s="155"/>
      <c r="S5" s="156"/>
    </row>
    <row r="6" spans="1:19" ht="40.5" customHeight="1" x14ac:dyDescent="0.3">
      <c r="A6" s="9" t="s">
        <v>99</v>
      </c>
      <c r="B6" s="10">
        <v>50000</v>
      </c>
      <c r="C6" s="25">
        <v>2.7E-2</v>
      </c>
      <c r="D6" s="9">
        <v>26531</v>
      </c>
      <c r="E6" s="9">
        <f t="shared" si="0"/>
        <v>1326550000</v>
      </c>
      <c r="F6" s="11">
        <v>0.05</v>
      </c>
      <c r="G6" s="9">
        <f t="shared" si="1"/>
        <v>66327500</v>
      </c>
      <c r="H6" s="12">
        <f t="shared" si="4"/>
        <v>1260222500</v>
      </c>
      <c r="I6" s="13">
        <f t="shared" si="2"/>
        <v>35816850</v>
      </c>
      <c r="J6" s="14">
        <v>0</v>
      </c>
      <c r="K6" s="9">
        <f t="shared" si="5"/>
        <v>0</v>
      </c>
      <c r="L6" s="15">
        <f t="shared" si="6"/>
        <v>-30510650</v>
      </c>
      <c r="M6" s="16">
        <f t="shared" si="3"/>
        <v>-2.3E-2</v>
      </c>
      <c r="O6" s="154"/>
      <c r="P6" s="155"/>
      <c r="Q6" s="155"/>
      <c r="R6" s="155"/>
      <c r="S6" s="156"/>
    </row>
    <row r="7" spans="1:19" ht="40.5" customHeight="1" x14ac:dyDescent="0.3">
      <c r="A7" s="9" t="s">
        <v>130</v>
      </c>
      <c r="B7" s="10">
        <v>70000</v>
      </c>
      <c r="C7" s="25">
        <v>2.7E-2</v>
      </c>
      <c r="D7" s="9">
        <v>4301</v>
      </c>
      <c r="E7" s="9">
        <f t="shared" si="0"/>
        <v>301070000</v>
      </c>
      <c r="F7" s="11">
        <v>0.05</v>
      </c>
      <c r="G7" s="9">
        <f t="shared" si="1"/>
        <v>15053500</v>
      </c>
      <c r="H7" s="12">
        <f t="shared" si="4"/>
        <v>286016500</v>
      </c>
      <c r="I7" s="13">
        <f t="shared" si="2"/>
        <v>8128890</v>
      </c>
      <c r="J7" s="14">
        <v>0</v>
      </c>
      <c r="K7" s="9">
        <f t="shared" si="5"/>
        <v>0</v>
      </c>
      <c r="L7" s="15">
        <f t="shared" si="6"/>
        <v>-6924610</v>
      </c>
      <c r="M7" s="16">
        <f t="shared" si="3"/>
        <v>-2.3E-2</v>
      </c>
      <c r="O7" s="154"/>
      <c r="P7" s="155"/>
      <c r="Q7" s="155"/>
      <c r="R7" s="155"/>
      <c r="S7" s="156"/>
    </row>
    <row r="8" spans="1:19" ht="40.5" customHeight="1" x14ac:dyDescent="0.3">
      <c r="A8" s="9"/>
      <c r="B8" s="10"/>
      <c r="C8" s="25"/>
      <c r="D8" s="9"/>
      <c r="E8" s="9"/>
      <c r="F8" s="11"/>
      <c r="G8" s="9"/>
      <c r="H8" s="12"/>
      <c r="I8" s="13"/>
      <c r="J8" s="14"/>
      <c r="K8" s="9"/>
      <c r="L8" s="15"/>
      <c r="M8" s="16"/>
      <c r="O8" s="154"/>
      <c r="P8" s="155"/>
      <c r="Q8" s="155"/>
      <c r="R8" s="155"/>
      <c r="S8" s="156"/>
    </row>
    <row r="9" spans="1:19" ht="36" customHeight="1" thickBot="1" x14ac:dyDescent="0.35">
      <c r="A9" s="160" t="s">
        <v>16</v>
      </c>
      <c r="B9" s="161"/>
      <c r="C9" s="161"/>
      <c r="D9" s="17">
        <f>SUM(D4:D4)</f>
        <v>17431</v>
      </c>
      <c r="E9" s="17">
        <v>1966459500</v>
      </c>
      <c r="F9" s="18">
        <v>0</v>
      </c>
      <c r="G9" s="19">
        <f>SUM(G4:G8)</f>
        <v>122664300</v>
      </c>
      <c r="H9" s="17">
        <f>SUM(H4:H8)</f>
        <v>1895505700</v>
      </c>
      <c r="I9" s="17">
        <f>SUM(I4:I4)</f>
        <v>3137580</v>
      </c>
      <c r="J9" s="19"/>
      <c r="K9" s="17">
        <f>SUM(K4:K8)</f>
        <v>17431000</v>
      </c>
      <c r="L9" s="17">
        <f>SUM(L4:L8)</f>
        <v>-52311500</v>
      </c>
      <c r="M9" s="20">
        <f t="shared" si="3"/>
        <v>-2.6601870010544332E-2</v>
      </c>
      <c r="O9" s="154"/>
      <c r="P9" s="155"/>
      <c r="Q9" s="155"/>
      <c r="R9" s="155"/>
      <c r="S9" s="156"/>
    </row>
    <row r="10" spans="1:19" ht="17.45" customHeight="1" thickBot="1" x14ac:dyDescent="0.35">
      <c r="A10" s="121" t="s">
        <v>164</v>
      </c>
      <c r="B10" s="87"/>
      <c r="C10" s="26"/>
      <c r="E10" s="87">
        <v>1.7000000000000001E-2</v>
      </c>
      <c r="H10" s="86">
        <f>H9/E9</f>
        <v>0.96391799576853732</v>
      </c>
      <c r="I10" s="124">
        <f>H10-100%</f>
        <v>-3.6082004231462683E-2</v>
      </c>
      <c r="O10" s="154"/>
      <c r="P10" s="155"/>
      <c r="Q10" s="155"/>
      <c r="R10" s="155"/>
      <c r="S10" s="156"/>
    </row>
    <row r="11" spans="1:19" ht="17.45" customHeight="1" x14ac:dyDescent="0.3">
      <c r="B11" s="87"/>
      <c r="C11" s="26"/>
      <c r="H11" s="162" t="s">
        <v>166</v>
      </c>
      <c r="I11" s="163"/>
      <c r="J11" s="163"/>
      <c r="K11" s="163"/>
      <c r="L11" s="163"/>
      <c r="M11" s="164"/>
      <c r="O11" s="154"/>
      <c r="P11" s="155"/>
      <c r="Q11" s="155"/>
      <c r="R11" s="155"/>
      <c r="S11" s="156"/>
    </row>
    <row r="12" spans="1:19" ht="17.45" customHeight="1" thickBot="1" x14ac:dyDescent="0.35">
      <c r="B12" s="87"/>
      <c r="C12" s="26"/>
      <c r="H12" s="165"/>
      <c r="I12" s="166"/>
      <c r="J12" s="166"/>
      <c r="K12" s="166"/>
      <c r="L12" s="166"/>
      <c r="M12" s="167"/>
      <c r="O12" s="157"/>
      <c r="P12" s="158"/>
      <c r="Q12" s="158"/>
      <c r="R12" s="158"/>
      <c r="S12" s="159"/>
    </row>
    <row r="13" spans="1:19" ht="16.5" customHeight="1" x14ac:dyDescent="0.3">
      <c r="E13" s="21"/>
      <c r="F13" s="86"/>
      <c r="G13" s="86"/>
      <c r="H13" s="24"/>
    </row>
    <row r="14" spans="1:19" ht="17.25" customHeight="1" x14ac:dyDescent="0.3">
      <c r="C14" s="22"/>
      <c r="D14" s="24"/>
      <c r="F14" s="22"/>
      <c r="G14" s="23"/>
      <c r="H14" s="21"/>
    </row>
    <row r="15" spans="1:19" ht="16.5" customHeight="1" thickBot="1" x14ac:dyDescent="0.35">
      <c r="H15" s="93"/>
      <c r="O15" s="168" t="s">
        <v>163</v>
      </c>
      <c r="P15" s="169"/>
      <c r="Q15" s="169"/>
      <c r="R15" s="169"/>
      <c r="S15" s="169"/>
    </row>
    <row r="16" spans="1:19" s="1" customFormat="1" ht="16.5" customHeight="1" x14ac:dyDescent="0.3">
      <c r="A16" s="133" t="s">
        <v>0</v>
      </c>
      <c r="B16" s="134"/>
      <c r="C16" s="134"/>
      <c r="D16" s="134"/>
      <c r="E16" s="135"/>
      <c r="F16" s="139" t="s">
        <v>1</v>
      </c>
      <c r="G16" s="140"/>
      <c r="H16" s="141"/>
      <c r="I16" s="145" t="s">
        <v>2</v>
      </c>
      <c r="J16" s="146"/>
      <c r="K16" s="146"/>
      <c r="L16" s="146"/>
      <c r="M16" s="147"/>
      <c r="O16" s="169"/>
      <c r="P16" s="169"/>
      <c r="Q16" s="169"/>
      <c r="R16" s="169"/>
      <c r="S16" s="169"/>
    </row>
    <row r="17" spans="1:15" s="1" customFormat="1" ht="16.5" customHeight="1" x14ac:dyDescent="0.3">
      <c r="A17" s="136"/>
      <c r="B17" s="137"/>
      <c r="C17" s="137"/>
      <c r="D17" s="137"/>
      <c r="E17" s="138"/>
      <c r="F17" s="142"/>
      <c r="G17" s="143"/>
      <c r="H17" s="144"/>
      <c r="I17" s="148"/>
      <c r="J17" s="149"/>
      <c r="K17" s="149"/>
      <c r="L17" s="149"/>
      <c r="M17" s="150"/>
    </row>
    <row r="18" spans="1:15" ht="34.5" x14ac:dyDescent="0.3">
      <c r="A18" s="2" t="s">
        <v>3</v>
      </c>
      <c r="B18" s="3" t="s">
        <v>4</v>
      </c>
      <c r="C18" s="4" t="s">
        <v>5</v>
      </c>
      <c r="D18" s="3" t="s">
        <v>6</v>
      </c>
      <c r="E18" s="5" t="s">
        <v>7</v>
      </c>
      <c r="F18" s="2" t="s">
        <v>8</v>
      </c>
      <c r="G18" s="6" t="s">
        <v>9</v>
      </c>
      <c r="H18" s="7" t="s">
        <v>10</v>
      </c>
      <c r="I18" s="2" t="s">
        <v>11</v>
      </c>
      <c r="J18" s="3" t="s">
        <v>12</v>
      </c>
      <c r="K18" s="8" t="s">
        <v>13</v>
      </c>
      <c r="L18" s="8" t="s">
        <v>14</v>
      </c>
      <c r="M18" s="5" t="s">
        <v>15</v>
      </c>
      <c r="O18" s="122">
        <v>1966459500</v>
      </c>
    </row>
    <row r="19" spans="1:15" ht="40.5" customHeight="1" x14ac:dyDescent="0.3">
      <c r="A19" s="9" t="s">
        <v>97</v>
      </c>
      <c r="B19" s="10">
        <v>9710</v>
      </c>
      <c r="C19" s="25">
        <v>0.02</v>
      </c>
      <c r="D19" s="9">
        <v>17431</v>
      </c>
      <c r="E19" s="9">
        <f t="shared" ref="E19:E22" si="7">B19*D19</f>
        <v>169255010</v>
      </c>
      <c r="F19" s="11">
        <v>0.18</v>
      </c>
      <c r="G19" s="9">
        <f t="shared" ref="G19:G22" si="8">F19*E19</f>
        <v>30465901.799999997</v>
      </c>
      <c r="H19" s="12">
        <f t="shared" ref="H19:H22" si="9">(B19-(B19*F19))*D19</f>
        <v>138789108.19999999</v>
      </c>
      <c r="I19" s="13">
        <f t="shared" ref="I19:I22" si="10">((1-J19)*D19*B19)*C19</f>
        <v>2945037.1739999996</v>
      </c>
      <c r="J19" s="14">
        <v>0.13</v>
      </c>
      <c r="K19" s="9">
        <f>J19*E19</f>
        <v>22003151.300000001</v>
      </c>
      <c r="L19" s="15">
        <f>(K19+I19)-G19</f>
        <v>-5517713.3259999976</v>
      </c>
      <c r="M19" s="16">
        <f t="shared" ref="M19:M22" si="11">L19/E19</f>
        <v>-3.2599999999999983E-2</v>
      </c>
    </row>
    <row r="20" spans="1:15" ht="40.5" customHeight="1" x14ac:dyDescent="0.3">
      <c r="A20" s="9" t="s">
        <v>98</v>
      </c>
      <c r="B20" s="10">
        <v>29130</v>
      </c>
      <c r="C20" s="25">
        <v>2.7E-2</v>
      </c>
      <c r="D20" s="9">
        <v>7208</v>
      </c>
      <c r="E20" s="9">
        <f t="shared" si="7"/>
        <v>209969040</v>
      </c>
      <c r="F20" s="11">
        <v>0.12</v>
      </c>
      <c r="G20" s="9">
        <f t="shared" si="8"/>
        <v>25196284.800000001</v>
      </c>
      <c r="H20" s="12">
        <f t="shared" si="9"/>
        <v>184772755.20000002</v>
      </c>
      <c r="I20" s="13">
        <f t="shared" si="10"/>
        <v>5385705.8759999992</v>
      </c>
      <c r="J20" s="14">
        <v>0.05</v>
      </c>
      <c r="K20" s="9">
        <f t="shared" ref="K20:K22" si="12">J20*E20</f>
        <v>10498452</v>
      </c>
      <c r="L20" s="15">
        <f t="shared" ref="L20:L22" si="13">(K20+I20)-G20</f>
        <v>-9312126.9240000024</v>
      </c>
      <c r="M20" s="16">
        <f t="shared" si="11"/>
        <v>-4.4350000000000014E-2</v>
      </c>
    </row>
    <row r="21" spans="1:15" ht="40.5" customHeight="1" x14ac:dyDescent="0.3">
      <c r="A21" s="9" t="s">
        <v>99</v>
      </c>
      <c r="B21" s="10">
        <v>48550</v>
      </c>
      <c r="C21" s="25">
        <v>2.7E-2</v>
      </c>
      <c r="D21" s="9">
        <v>26531</v>
      </c>
      <c r="E21" s="9">
        <f t="shared" si="7"/>
        <v>1288080050</v>
      </c>
      <c r="F21" s="11">
        <v>0.05</v>
      </c>
      <c r="G21" s="9">
        <f t="shared" si="8"/>
        <v>64404002.5</v>
      </c>
      <c r="H21" s="12">
        <f t="shared" si="9"/>
        <v>1223676047.5</v>
      </c>
      <c r="I21" s="13">
        <f t="shared" si="10"/>
        <v>34082598.122999996</v>
      </c>
      <c r="J21" s="14">
        <v>0.02</v>
      </c>
      <c r="K21" s="9">
        <f t="shared" si="12"/>
        <v>25761601</v>
      </c>
      <c r="L21" s="15">
        <f t="shared" si="13"/>
        <v>-4559803.3770000041</v>
      </c>
      <c r="M21" s="16">
        <f t="shared" si="11"/>
        <v>-3.5400000000000032E-3</v>
      </c>
    </row>
    <row r="22" spans="1:15" ht="40.5" customHeight="1" x14ac:dyDescent="0.3">
      <c r="A22" s="9" t="s">
        <v>130</v>
      </c>
      <c r="B22" s="10">
        <v>67970</v>
      </c>
      <c r="C22" s="25">
        <v>2.7E-2</v>
      </c>
      <c r="D22" s="9">
        <v>4301</v>
      </c>
      <c r="E22" s="9">
        <f t="shared" si="7"/>
        <v>292338970</v>
      </c>
      <c r="F22" s="11">
        <v>0.05</v>
      </c>
      <c r="G22" s="9">
        <f t="shared" si="8"/>
        <v>14616948.5</v>
      </c>
      <c r="H22" s="12">
        <f t="shared" si="9"/>
        <v>277722021.5</v>
      </c>
      <c r="I22" s="13">
        <f t="shared" si="10"/>
        <v>7735289.1461999994</v>
      </c>
      <c r="J22" s="14">
        <v>0.02</v>
      </c>
      <c r="K22" s="9">
        <f t="shared" si="12"/>
        <v>5846779.4000000004</v>
      </c>
      <c r="L22" s="15">
        <f t="shared" si="13"/>
        <v>-1034879.9538000003</v>
      </c>
      <c r="M22" s="16">
        <f t="shared" si="11"/>
        <v>-3.540000000000001E-3</v>
      </c>
    </row>
    <row r="23" spans="1:15" ht="40.5" customHeight="1" x14ac:dyDescent="0.3">
      <c r="A23" s="9"/>
      <c r="B23" s="10"/>
      <c r="C23" s="25"/>
      <c r="D23" s="9"/>
      <c r="E23" s="9"/>
      <c r="F23" s="11"/>
      <c r="G23" s="9"/>
      <c r="H23" s="12"/>
      <c r="I23" s="13"/>
      <c r="J23" s="14"/>
      <c r="K23" s="9"/>
      <c r="L23" s="15"/>
      <c r="M23" s="16"/>
    </row>
    <row r="24" spans="1:15" ht="36" customHeight="1" thickBot="1" x14ac:dyDescent="0.35">
      <c r="A24" s="160" t="s">
        <v>16</v>
      </c>
      <c r="B24" s="161"/>
      <c r="C24" s="161"/>
      <c r="D24" s="17">
        <f>SUM(D19:D19)</f>
        <v>17431</v>
      </c>
      <c r="E24" s="17">
        <f>SUM(E19:E23)</f>
        <v>1959643070</v>
      </c>
      <c r="F24" s="18">
        <v>0</v>
      </c>
      <c r="G24" s="19">
        <f>SUM(G19:G23)</f>
        <v>134683137.59999999</v>
      </c>
      <c r="H24" s="17">
        <f>SUM(H19:H23)</f>
        <v>1824959932.4000001</v>
      </c>
      <c r="I24" s="17">
        <f>SUM(I19:I19)</f>
        <v>2945037.1739999996</v>
      </c>
      <c r="J24" s="19"/>
      <c r="K24" s="17">
        <f>SUM(K19:K23)</f>
        <v>64109983.699999996</v>
      </c>
      <c r="L24" s="17">
        <f>SUM(L19:L23)</f>
        <v>-20424523.580800004</v>
      </c>
      <c r="M24" s="20">
        <f t="shared" ref="M24" si="14">L24/E24</f>
        <v>-1.0422573321375308E-2</v>
      </c>
    </row>
    <row r="25" spans="1:15" ht="17.25" thickBot="1" x14ac:dyDescent="0.35"/>
    <row r="26" spans="1:15" x14ac:dyDescent="0.3">
      <c r="H26" s="127" t="s">
        <v>161</v>
      </c>
      <c r="I26" s="128"/>
      <c r="J26" s="128"/>
      <c r="K26" s="128"/>
      <c r="L26" s="128"/>
      <c r="M26" s="129"/>
    </row>
    <row r="27" spans="1:15" ht="17.25" thickBot="1" x14ac:dyDescent="0.35">
      <c r="H27" s="130"/>
      <c r="I27" s="131"/>
      <c r="J27" s="131"/>
      <c r="K27" s="131"/>
      <c r="L27" s="131"/>
      <c r="M27" s="132"/>
    </row>
  </sheetData>
  <mergeCells count="12">
    <mergeCell ref="H26:M27"/>
    <mergeCell ref="A1:E2"/>
    <mergeCell ref="F1:H2"/>
    <mergeCell ref="I1:M2"/>
    <mergeCell ref="O1:S12"/>
    <mergeCell ref="A9:C9"/>
    <mergeCell ref="H11:M12"/>
    <mergeCell ref="O15:S16"/>
    <mergeCell ref="A16:E17"/>
    <mergeCell ref="F16:H17"/>
    <mergeCell ref="I16:M17"/>
    <mergeCell ref="A24:C24"/>
  </mergeCells>
  <phoneticPr fontId="3" type="noConversion"/>
  <pageMargins left="0.7" right="0.7" top="0.75" bottom="0.75" header="0.3" footer="0.3"/>
  <pageSetup paperSize="9" scale="41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F6F6-C44E-4090-A559-A2B362047968}">
  <dimension ref="A1:R48"/>
  <sheetViews>
    <sheetView showGridLines="0" tabSelected="1" zoomScale="70" zoomScaleNormal="70" zoomScaleSheetLayoutView="85" workbookViewId="0">
      <selection activeCell="N33" sqref="N33"/>
    </sheetView>
  </sheetViews>
  <sheetFormatPr defaultRowHeight="16.5" x14ac:dyDescent="0.3"/>
  <cols>
    <col min="1" max="1" width="43" customWidth="1"/>
    <col min="2" max="2" width="12.875" bestFit="1" customWidth="1"/>
    <col min="3" max="3" width="13.625" customWidth="1"/>
    <col min="4" max="4" width="13.125" customWidth="1"/>
    <col min="5" max="5" width="16.75" customWidth="1"/>
    <col min="6" max="6" width="9.75" customWidth="1"/>
    <col min="7" max="7" width="15.125" bestFit="1" customWidth="1"/>
    <col min="8" max="8" width="17.625" customWidth="1"/>
    <col min="9" max="9" width="23.625" customWidth="1"/>
    <col min="10" max="10" width="14.875" customWidth="1"/>
    <col min="11" max="11" width="19.375" customWidth="1"/>
    <col min="12" max="12" width="15" customWidth="1"/>
    <col min="13" max="13" width="13.75" customWidth="1"/>
    <col min="14" max="14" width="9.875" customWidth="1"/>
    <col min="15" max="18" width="21.5" customWidth="1"/>
  </cols>
  <sheetData>
    <row r="1" spans="1:18" ht="30.75" customHeight="1" thickBot="1" x14ac:dyDescent="0.35">
      <c r="A1" s="125" t="s">
        <v>168</v>
      </c>
    </row>
    <row r="2" spans="1:18" s="1" customFormat="1" ht="16.5" customHeight="1" x14ac:dyDescent="0.3">
      <c r="A2" s="133" t="s">
        <v>0</v>
      </c>
      <c r="B2" s="134"/>
      <c r="C2" s="134"/>
      <c r="D2" s="134"/>
      <c r="E2" s="135"/>
      <c r="F2" s="139" t="s">
        <v>1</v>
      </c>
      <c r="G2" s="140"/>
      <c r="H2" s="141"/>
      <c r="I2" s="145" t="s">
        <v>2</v>
      </c>
      <c r="J2" s="146"/>
      <c r="K2" s="146"/>
      <c r="L2" s="146"/>
      <c r="M2" s="147"/>
      <c r="O2" s="170" t="s">
        <v>175</v>
      </c>
      <c r="P2" s="182"/>
      <c r="Q2" s="182"/>
      <c r="R2" s="183"/>
    </row>
    <row r="3" spans="1:18" s="1" customFormat="1" ht="16.5" customHeight="1" x14ac:dyDescent="0.3">
      <c r="A3" s="136"/>
      <c r="B3" s="137"/>
      <c r="C3" s="137"/>
      <c r="D3" s="137"/>
      <c r="E3" s="138"/>
      <c r="F3" s="142"/>
      <c r="G3" s="143"/>
      <c r="H3" s="144"/>
      <c r="I3" s="148"/>
      <c r="J3" s="149"/>
      <c r="K3" s="149"/>
      <c r="L3" s="149"/>
      <c r="M3" s="150"/>
      <c r="O3" s="184"/>
      <c r="P3" s="185"/>
      <c r="Q3" s="185"/>
      <c r="R3" s="186"/>
    </row>
    <row r="4" spans="1:18" ht="34.5" x14ac:dyDescent="0.3">
      <c r="A4" s="2" t="s">
        <v>3</v>
      </c>
      <c r="B4" s="3" t="s">
        <v>4</v>
      </c>
      <c r="C4" s="4" t="s">
        <v>5</v>
      </c>
      <c r="D4" s="3" t="s">
        <v>6</v>
      </c>
      <c r="E4" s="5" t="s">
        <v>7</v>
      </c>
      <c r="F4" s="2" t="s">
        <v>8</v>
      </c>
      <c r="G4" s="6" t="s">
        <v>9</v>
      </c>
      <c r="H4" s="7" t="s">
        <v>10</v>
      </c>
      <c r="I4" s="2" t="s">
        <v>11</v>
      </c>
      <c r="J4" s="3" t="s">
        <v>12</v>
      </c>
      <c r="K4" s="8" t="s">
        <v>13</v>
      </c>
      <c r="L4" s="8" t="s">
        <v>14</v>
      </c>
      <c r="M4" s="5" t="s">
        <v>15</v>
      </c>
      <c r="O4" s="184"/>
      <c r="P4" s="185"/>
      <c r="Q4" s="185"/>
      <c r="R4" s="186"/>
    </row>
    <row r="5" spans="1:18" ht="40.5" customHeight="1" x14ac:dyDescent="0.3">
      <c r="A5" s="9" t="s">
        <v>97</v>
      </c>
      <c r="B5" s="10">
        <v>10000</v>
      </c>
      <c r="C5" s="25">
        <v>0.02</v>
      </c>
      <c r="D5" s="9">
        <v>17431</v>
      </c>
      <c r="E5" s="9">
        <f t="shared" ref="E5:E8" si="0">B5*D5</f>
        <v>174310000</v>
      </c>
      <c r="F5" s="11">
        <v>0.15</v>
      </c>
      <c r="G5" s="9">
        <f t="shared" ref="G5:G8" si="1">F5*E5</f>
        <v>26146500</v>
      </c>
      <c r="H5" s="12">
        <f>(B5-(B5*F5))*D5</f>
        <v>148163500</v>
      </c>
      <c r="I5" s="13">
        <f t="shared" ref="I5:I8" si="2">((1-J5)*D5*B5)*C5</f>
        <v>2440339.9999999995</v>
      </c>
      <c r="J5" s="14">
        <v>0.3</v>
      </c>
      <c r="K5" s="9">
        <f>J5*E5</f>
        <v>52293000</v>
      </c>
      <c r="L5" s="15">
        <f>(K5+I5)-G5</f>
        <v>28586840</v>
      </c>
      <c r="M5" s="16">
        <f t="shared" ref="M5:M10" si="3">L5/E5</f>
        <v>0.16400000000000001</v>
      </c>
      <c r="O5" s="184"/>
      <c r="P5" s="185"/>
      <c r="Q5" s="185"/>
      <c r="R5" s="186"/>
    </row>
    <row r="6" spans="1:18" ht="40.5" customHeight="1" x14ac:dyDescent="0.3">
      <c r="A6" s="9" t="s">
        <v>98</v>
      </c>
      <c r="B6" s="10">
        <v>30000</v>
      </c>
      <c r="C6" s="25">
        <v>2.7E-2</v>
      </c>
      <c r="D6" s="9">
        <v>7208</v>
      </c>
      <c r="E6" s="9">
        <f t="shared" si="0"/>
        <v>216240000</v>
      </c>
      <c r="F6" s="11">
        <v>7.0000000000000007E-2</v>
      </c>
      <c r="G6" s="9">
        <f t="shared" si="1"/>
        <v>15136800.000000002</v>
      </c>
      <c r="H6" s="12">
        <f t="shared" ref="H6:H8" si="4">(B6-(B6*F6))*D6</f>
        <v>201103200</v>
      </c>
      <c r="I6" s="13">
        <f t="shared" si="2"/>
        <v>5429786.4000000004</v>
      </c>
      <c r="J6" s="14">
        <v>7.0000000000000007E-2</v>
      </c>
      <c r="K6" s="9">
        <f t="shared" ref="K6:K8" si="5">J6*E6</f>
        <v>15136800.000000002</v>
      </c>
      <c r="L6" s="15">
        <f t="shared" ref="L6:L8" si="6">(K6+I6)-G6</f>
        <v>5429786.4000000004</v>
      </c>
      <c r="M6" s="16">
        <f t="shared" si="3"/>
        <v>2.511E-2</v>
      </c>
      <c r="O6" s="184"/>
      <c r="P6" s="185"/>
      <c r="Q6" s="185"/>
      <c r="R6" s="186"/>
    </row>
    <row r="7" spans="1:18" ht="40.5" customHeight="1" x14ac:dyDescent="0.3">
      <c r="A7" s="9" t="s">
        <v>99</v>
      </c>
      <c r="B7" s="10">
        <v>50000</v>
      </c>
      <c r="C7" s="25">
        <v>2.7E-2</v>
      </c>
      <c r="D7" s="9">
        <v>26531</v>
      </c>
      <c r="E7" s="9">
        <f t="shared" si="0"/>
        <v>1326550000</v>
      </c>
      <c r="F7" s="11">
        <v>0.05</v>
      </c>
      <c r="G7" s="9">
        <f t="shared" si="1"/>
        <v>66327500</v>
      </c>
      <c r="H7" s="12">
        <f t="shared" si="4"/>
        <v>1260222500</v>
      </c>
      <c r="I7" s="13">
        <f t="shared" si="2"/>
        <v>34742344.5</v>
      </c>
      <c r="J7" s="14">
        <v>0.03</v>
      </c>
      <c r="K7" s="9">
        <f t="shared" si="5"/>
        <v>39796500</v>
      </c>
      <c r="L7" s="15">
        <f t="shared" si="6"/>
        <v>8211344.5</v>
      </c>
      <c r="M7" s="16">
        <f t="shared" si="3"/>
        <v>6.1900000000000002E-3</v>
      </c>
      <c r="O7" s="184"/>
      <c r="P7" s="185"/>
      <c r="Q7" s="185"/>
      <c r="R7" s="186"/>
    </row>
    <row r="8" spans="1:18" ht="40.5" customHeight="1" x14ac:dyDescent="0.3">
      <c r="A8" s="9" t="s">
        <v>130</v>
      </c>
      <c r="B8" s="10">
        <v>70000</v>
      </c>
      <c r="C8" s="25">
        <v>2.7E-2</v>
      </c>
      <c r="D8" s="9">
        <v>4301</v>
      </c>
      <c r="E8" s="9">
        <f t="shared" si="0"/>
        <v>301070000</v>
      </c>
      <c r="F8" s="11">
        <v>0.05</v>
      </c>
      <c r="G8" s="9">
        <f t="shared" si="1"/>
        <v>15053500</v>
      </c>
      <c r="H8" s="12">
        <f t="shared" si="4"/>
        <v>286016500</v>
      </c>
      <c r="I8" s="13">
        <f t="shared" si="2"/>
        <v>8047601.0999999996</v>
      </c>
      <c r="J8" s="14">
        <v>0.01</v>
      </c>
      <c r="K8" s="9">
        <f t="shared" si="5"/>
        <v>3010700</v>
      </c>
      <c r="L8" s="15">
        <f t="shared" si="6"/>
        <v>-3995198.9000000004</v>
      </c>
      <c r="M8" s="16">
        <f t="shared" si="3"/>
        <v>-1.3270000000000001E-2</v>
      </c>
      <c r="O8" s="184"/>
      <c r="P8" s="185"/>
      <c r="Q8" s="185"/>
      <c r="R8" s="186"/>
    </row>
    <row r="9" spans="1:18" ht="40.5" customHeight="1" x14ac:dyDescent="0.3">
      <c r="A9" s="9"/>
      <c r="B9" s="10"/>
      <c r="C9" s="25"/>
      <c r="D9" s="9"/>
      <c r="E9" s="9"/>
      <c r="F9" s="11"/>
      <c r="G9" s="9"/>
      <c r="H9" s="12"/>
      <c r="I9" s="13"/>
      <c r="J9" s="14"/>
      <c r="K9" s="9"/>
      <c r="L9" s="15"/>
      <c r="M9" s="16"/>
      <c r="O9" s="184"/>
      <c r="P9" s="185"/>
      <c r="Q9" s="185"/>
      <c r="R9" s="186"/>
    </row>
    <row r="10" spans="1:18" ht="36" customHeight="1" thickBot="1" x14ac:dyDescent="0.35">
      <c r="A10" s="160" t="s">
        <v>16</v>
      </c>
      <c r="B10" s="161"/>
      <c r="C10" s="161"/>
      <c r="D10" s="17">
        <f>SUM(D5:D5)</f>
        <v>17431</v>
      </c>
      <c r="E10" s="17">
        <v>1966459500</v>
      </c>
      <c r="F10" s="18">
        <v>0</v>
      </c>
      <c r="G10" s="19">
        <f>SUM(G5:G9)</f>
        <v>122664300</v>
      </c>
      <c r="H10" s="17">
        <f>SUM(H5:H9)</f>
        <v>1895505700</v>
      </c>
      <c r="I10" s="17">
        <f>SUM(I5:I5)</f>
        <v>2440339.9999999995</v>
      </c>
      <c r="J10" s="19"/>
      <c r="K10" s="17">
        <f>SUM(K5:K9)</f>
        <v>110237000</v>
      </c>
      <c r="L10" s="17">
        <f>SUM(L5:L9)</f>
        <v>38232772</v>
      </c>
      <c r="M10" s="20">
        <f t="shared" si="3"/>
        <v>1.9442440589292585E-2</v>
      </c>
      <c r="O10" s="187"/>
      <c r="P10" s="188"/>
      <c r="Q10" s="188"/>
      <c r="R10" s="189"/>
    </row>
    <row r="11" spans="1:18" ht="17.45" customHeight="1" x14ac:dyDescent="0.3">
      <c r="A11" s="121"/>
      <c r="B11" s="87"/>
      <c r="C11" s="26"/>
      <c r="E11" s="87"/>
      <c r="H11" s="86"/>
      <c r="I11" s="124"/>
    </row>
    <row r="12" spans="1:18" ht="16.5" customHeight="1" x14ac:dyDescent="0.3">
      <c r="E12" s="21"/>
      <c r="F12" s="86"/>
      <c r="G12" s="86"/>
      <c r="H12" s="24"/>
    </row>
    <row r="13" spans="1:18" ht="17.25" customHeight="1" x14ac:dyDescent="0.3">
      <c r="C13" s="22"/>
      <c r="D13" s="24"/>
      <c r="F13" s="22"/>
      <c r="G13" s="23"/>
      <c r="H13" s="21"/>
    </row>
    <row r="14" spans="1:18" ht="27" thickBot="1" x14ac:dyDescent="0.35">
      <c r="A14" s="125" t="s">
        <v>169</v>
      </c>
    </row>
    <row r="15" spans="1:18" ht="16.5" customHeight="1" x14ac:dyDescent="0.3">
      <c r="A15" s="190" t="s">
        <v>0</v>
      </c>
      <c r="B15" s="191"/>
      <c r="C15" s="191"/>
      <c r="D15" s="191"/>
      <c r="E15" s="192"/>
      <c r="F15" s="139" t="s">
        <v>1</v>
      </c>
      <c r="G15" s="140"/>
      <c r="H15" s="141"/>
      <c r="I15" s="196" t="s">
        <v>167</v>
      </c>
      <c r="J15" s="197"/>
      <c r="K15" s="197"/>
      <c r="L15" s="197"/>
      <c r="M15" s="198"/>
      <c r="O15" s="170" t="s">
        <v>176</v>
      </c>
      <c r="P15" s="171"/>
      <c r="Q15" s="171"/>
      <c r="R15" s="172"/>
    </row>
    <row r="16" spans="1:18" ht="16.5" customHeight="1" x14ac:dyDescent="0.3">
      <c r="A16" s="193"/>
      <c r="B16" s="194"/>
      <c r="C16" s="194"/>
      <c r="D16" s="194"/>
      <c r="E16" s="195"/>
      <c r="F16" s="142"/>
      <c r="G16" s="143"/>
      <c r="H16" s="144"/>
      <c r="I16" s="199"/>
      <c r="J16" s="200"/>
      <c r="K16" s="200"/>
      <c r="L16" s="200"/>
      <c r="M16" s="201"/>
      <c r="O16" s="173"/>
      <c r="P16" s="174"/>
      <c r="Q16" s="174"/>
      <c r="R16" s="175"/>
    </row>
    <row r="17" spans="1:18" ht="34.5" x14ac:dyDescent="0.3">
      <c r="A17" s="2" t="s">
        <v>3</v>
      </c>
      <c r="B17" s="3" t="s">
        <v>4</v>
      </c>
      <c r="C17" s="4" t="s">
        <v>5</v>
      </c>
      <c r="D17" s="3" t="s">
        <v>6</v>
      </c>
      <c r="E17" s="5" t="s">
        <v>7</v>
      </c>
      <c r="F17" s="2" t="s">
        <v>8</v>
      </c>
      <c r="G17" s="6" t="s">
        <v>9</v>
      </c>
      <c r="H17" s="7" t="s">
        <v>10</v>
      </c>
      <c r="I17" s="2" t="s">
        <v>11</v>
      </c>
      <c r="J17" s="3" t="s">
        <v>12</v>
      </c>
      <c r="K17" s="8" t="s">
        <v>13</v>
      </c>
      <c r="L17" s="8" t="s">
        <v>14</v>
      </c>
      <c r="M17" s="5" t="s">
        <v>15</v>
      </c>
      <c r="O17" s="173"/>
      <c r="P17" s="174"/>
      <c r="Q17" s="174"/>
      <c r="R17" s="175"/>
    </row>
    <row r="18" spans="1:18" ht="46.5" customHeight="1" x14ac:dyDescent="0.3">
      <c r="A18" s="9" t="s">
        <v>97</v>
      </c>
      <c r="B18" s="10">
        <v>10000</v>
      </c>
      <c r="C18" s="25">
        <v>0.02</v>
      </c>
      <c r="D18" s="9">
        <v>17431</v>
      </c>
      <c r="E18" s="9">
        <f t="shared" ref="E18:E21" si="7">B18*D18</f>
        <v>174310000</v>
      </c>
      <c r="F18" s="11">
        <v>0.15</v>
      </c>
      <c r="G18" s="9">
        <f t="shared" ref="G18:G21" si="8">F18*E18</f>
        <v>26146500</v>
      </c>
      <c r="H18" s="12">
        <f>(B18-(B18*F18))*D18</f>
        <v>148163500</v>
      </c>
      <c r="I18" s="13">
        <f t="shared" ref="I18:I21" si="9">((1-J18)*D18*B18)*C18</f>
        <v>2928408</v>
      </c>
      <c r="J18" s="14">
        <v>0.16</v>
      </c>
      <c r="K18" s="9">
        <f>J18*E18</f>
        <v>27889600</v>
      </c>
      <c r="L18" s="15">
        <f>(K18+I18)-G18</f>
        <v>4671508</v>
      </c>
      <c r="M18" s="16">
        <f t="shared" ref="M18:M21" si="10">L18/E18</f>
        <v>2.6800000000000001E-2</v>
      </c>
      <c r="O18" s="173"/>
      <c r="P18" s="174"/>
      <c r="Q18" s="174"/>
      <c r="R18" s="175"/>
    </row>
    <row r="19" spans="1:18" ht="46.5" customHeight="1" x14ac:dyDescent="0.3">
      <c r="A19" s="9" t="s">
        <v>98</v>
      </c>
      <c r="B19" s="10">
        <v>30000</v>
      </c>
      <c r="C19" s="25">
        <v>2.7E-2</v>
      </c>
      <c r="D19" s="9">
        <v>7208</v>
      </c>
      <c r="E19" s="9">
        <f t="shared" si="7"/>
        <v>216240000</v>
      </c>
      <c r="F19" s="11">
        <v>7.0000000000000007E-2</v>
      </c>
      <c r="G19" s="9">
        <f t="shared" si="8"/>
        <v>15136800.000000002</v>
      </c>
      <c r="H19" s="12">
        <f t="shared" ref="H19:H21" si="11">(B19-(B19*F19))*D19</f>
        <v>201103200</v>
      </c>
      <c r="I19" s="13">
        <f t="shared" si="9"/>
        <v>5780095.2000000002</v>
      </c>
      <c r="J19" s="14">
        <v>0.01</v>
      </c>
      <c r="K19" s="9">
        <f t="shared" ref="K19:K21" si="12">J19*E19</f>
        <v>2162400</v>
      </c>
      <c r="L19" s="15">
        <f t="shared" ref="L19:L21" si="13">(K19+I19)-G19</f>
        <v>-7194304.8000000017</v>
      </c>
      <c r="M19" s="16">
        <f t="shared" si="10"/>
        <v>-3.3270000000000008E-2</v>
      </c>
      <c r="O19" s="173"/>
      <c r="P19" s="174"/>
      <c r="Q19" s="174"/>
      <c r="R19" s="175"/>
    </row>
    <row r="20" spans="1:18" ht="46.5" customHeight="1" x14ac:dyDescent="0.3">
      <c r="A20" s="9" t="s">
        <v>99</v>
      </c>
      <c r="B20" s="10">
        <v>50000</v>
      </c>
      <c r="C20" s="25">
        <v>2.7E-2</v>
      </c>
      <c r="D20" s="9">
        <v>26531</v>
      </c>
      <c r="E20" s="9">
        <f t="shared" si="7"/>
        <v>1326550000</v>
      </c>
      <c r="F20" s="11">
        <v>0.05</v>
      </c>
      <c r="G20" s="9">
        <f t="shared" si="8"/>
        <v>66327500</v>
      </c>
      <c r="H20" s="12">
        <f t="shared" si="11"/>
        <v>1260222500</v>
      </c>
      <c r="I20" s="13">
        <f t="shared" si="9"/>
        <v>35458681.5</v>
      </c>
      <c r="J20" s="14">
        <v>0.01</v>
      </c>
      <c r="K20" s="9">
        <f t="shared" si="12"/>
        <v>13265500</v>
      </c>
      <c r="L20" s="15">
        <f t="shared" si="13"/>
        <v>-17603318.5</v>
      </c>
      <c r="M20" s="16">
        <f t="shared" si="10"/>
        <v>-1.3270000000000001E-2</v>
      </c>
      <c r="O20" s="173"/>
      <c r="P20" s="174"/>
      <c r="Q20" s="174"/>
      <c r="R20" s="175"/>
    </row>
    <row r="21" spans="1:18" ht="46.5" customHeight="1" x14ac:dyDescent="0.3">
      <c r="A21" s="9" t="s">
        <v>130</v>
      </c>
      <c r="B21" s="10">
        <v>70000</v>
      </c>
      <c r="C21" s="25">
        <v>2.7E-2</v>
      </c>
      <c r="D21" s="9">
        <v>4301</v>
      </c>
      <c r="E21" s="9">
        <f t="shared" si="7"/>
        <v>301070000</v>
      </c>
      <c r="F21" s="11">
        <v>0.05</v>
      </c>
      <c r="G21" s="9">
        <f t="shared" si="8"/>
        <v>15053500</v>
      </c>
      <c r="H21" s="12">
        <f t="shared" si="11"/>
        <v>286016500</v>
      </c>
      <c r="I21" s="13">
        <f t="shared" si="9"/>
        <v>8047601.0999999996</v>
      </c>
      <c r="J21" s="14">
        <v>0.01</v>
      </c>
      <c r="K21" s="9">
        <f t="shared" si="12"/>
        <v>3010700</v>
      </c>
      <c r="L21" s="15">
        <f t="shared" si="13"/>
        <v>-3995198.9000000004</v>
      </c>
      <c r="M21" s="16">
        <f t="shared" si="10"/>
        <v>-1.3270000000000001E-2</v>
      </c>
      <c r="O21" s="173"/>
      <c r="P21" s="174"/>
      <c r="Q21" s="174"/>
      <c r="R21" s="175"/>
    </row>
    <row r="22" spans="1:18" ht="46.5" customHeight="1" x14ac:dyDescent="0.3">
      <c r="A22" s="9"/>
      <c r="B22" s="10"/>
      <c r="C22" s="25"/>
      <c r="D22" s="9"/>
      <c r="E22" s="9"/>
      <c r="F22" s="11"/>
      <c r="G22" s="9"/>
      <c r="H22" s="12"/>
      <c r="I22" s="13"/>
      <c r="J22" s="14"/>
      <c r="K22" s="9"/>
      <c r="L22" s="15"/>
      <c r="M22" s="16"/>
      <c r="O22" s="173"/>
      <c r="P22" s="174"/>
      <c r="Q22" s="174"/>
      <c r="R22" s="175"/>
    </row>
    <row r="23" spans="1:18" ht="46.5" customHeight="1" thickBot="1" x14ac:dyDescent="0.35">
      <c r="A23" s="179" t="s">
        <v>16</v>
      </c>
      <c r="B23" s="180"/>
      <c r="C23" s="181"/>
      <c r="D23" s="17">
        <f>SUM(D18:D18)</f>
        <v>17431</v>
      </c>
      <c r="E23" s="17">
        <v>1966459500</v>
      </c>
      <c r="F23" s="18">
        <v>0</v>
      </c>
      <c r="G23" s="19">
        <f>SUM(G18:G22)</f>
        <v>122664300</v>
      </c>
      <c r="H23" s="17">
        <f>SUM(H18:H22)</f>
        <v>1895505700</v>
      </c>
      <c r="I23" s="17">
        <f>SUM(I18:I18)</f>
        <v>2928408</v>
      </c>
      <c r="J23" s="19"/>
      <c r="K23" s="17">
        <f>SUM(K18:K22)</f>
        <v>46328200</v>
      </c>
      <c r="L23" s="17">
        <f>SUM(L18:L22)</f>
        <v>-24121314.200000003</v>
      </c>
      <c r="M23" s="20">
        <f t="shared" ref="M23" si="14">L23/E23</f>
        <v>-1.2266367143589788E-2</v>
      </c>
      <c r="O23" s="173"/>
      <c r="P23" s="174"/>
      <c r="Q23" s="174"/>
      <c r="R23" s="175"/>
    </row>
    <row r="24" spans="1:18" ht="16.5" customHeight="1" x14ac:dyDescent="0.3">
      <c r="O24" s="173"/>
      <c r="P24" s="174"/>
      <c r="Q24" s="174"/>
      <c r="R24" s="175"/>
    </row>
    <row r="25" spans="1:18" ht="17.25" customHeight="1" thickBot="1" x14ac:dyDescent="0.35">
      <c r="O25" s="173"/>
      <c r="P25" s="174"/>
      <c r="Q25" s="174"/>
      <c r="R25" s="175"/>
    </row>
    <row r="26" spans="1:18" ht="16.5" customHeight="1" x14ac:dyDescent="0.3">
      <c r="A26" s="190" t="s">
        <v>0</v>
      </c>
      <c r="B26" s="191"/>
      <c r="C26" s="191"/>
      <c r="D26" s="191"/>
      <c r="E26" s="192"/>
      <c r="F26" s="139" t="s">
        <v>1</v>
      </c>
      <c r="G26" s="140"/>
      <c r="H26" s="141"/>
      <c r="I26" s="196" t="s">
        <v>167</v>
      </c>
      <c r="J26" s="197"/>
      <c r="K26" s="197"/>
      <c r="L26" s="197"/>
      <c r="M26" s="198"/>
      <c r="O26" s="173"/>
      <c r="P26" s="174"/>
      <c r="Q26" s="174"/>
      <c r="R26" s="175"/>
    </row>
    <row r="27" spans="1:18" ht="16.5" customHeight="1" x14ac:dyDescent="0.3">
      <c r="A27" s="193"/>
      <c r="B27" s="194"/>
      <c r="C27" s="194"/>
      <c r="D27" s="194"/>
      <c r="E27" s="195"/>
      <c r="F27" s="142"/>
      <c r="G27" s="143"/>
      <c r="H27" s="144"/>
      <c r="I27" s="199"/>
      <c r="J27" s="200"/>
      <c r="K27" s="200"/>
      <c r="L27" s="200"/>
      <c r="M27" s="201"/>
      <c r="O27" s="173"/>
      <c r="P27" s="174"/>
      <c r="Q27" s="174"/>
      <c r="R27" s="175"/>
    </row>
    <row r="28" spans="1:18" ht="34.5" x14ac:dyDescent="0.3">
      <c r="A28" s="2" t="s">
        <v>3</v>
      </c>
      <c r="B28" s="3" t="s">
        <v>4</v>
      </c>
      <c r="C28" s="4" t="s">
        <v>5</v>
      </c>
      <c r="D28" s="3" t="s">
        <v>6</v>
      </c>
      <c r="E28" s="5" t="s">
        <v>7</v>
      </c>
      <c r="F28" s="2" t="s">
        <v>8</v>
      </c>
      <c r="G28" s="6" t="s">
        <v>9</v>
      </c>
      <c r="H28" s="7" t="s">
        <v>10</v>
      </c>
      <c r="I28" s="2" t="s">
        <v>11</v>
      </c>
      <c r="J28" s="3" t="s">
        <v>12</v>
      </c>
      <c r="K28" s="8" t="s">
        <v>13</v>
      </c>
      <c r="L28" s="8" t="s">
        <v>14</v>
      </c>
      <c r="M28" s="5" t="s">
        <v>15</v>
      </c>
      <c r="O28" s="173"/>
      <c r="P28" s="174"/>
      <c r="Q28" s="174"/>
      <c r="R28" s="175"/>
    </row>
    <row r="29" spans="1:18" ht="39.75" customHeight="1" x14ac:dyDescent="0.3">
      <c r="A29" s="9" t="s">
        <v>170</v>
      </c>
      <c r="B29" s="10">
        <v>9200</v>
      </c>
      <c r="C29" s="25">
        <v>0.03</v>
      </c>
      <c r="D29" s="9">
        <v>10000</v>
      </c>
      <c r="E29" s="9">
        <f t="shared" ref="E29:E33" si="15">B29*D29</f>
        <v>92000000</v>
      </c>
      <c r="F29" s="11">
        <v>0.15</v>
      </c>
      <c r="G29" s="9">
        <f t="shared" ref="G29:G33" si="16">F29*E29</f>
        <v>13800000</v>
      </c>
      <c r="H29" s="12">
        <f>(B29-(B29*F29))*D29</f>
        <v>78200000</v>
      </c>
      <c r="I29" s="13">
        <f t="shared" ref="I29:I32" si="17">((1-J29)*D29*B29)*C29</f>
        <v>2070000</v>
      </c>
      <c r="J29" s="14">
        <v>0.25</v>
      </c>
      <c r="K29" s="9">
        <f>J29*E29</f>
        <v>23000000</v>
      </c>
      <c r="L29" s="15">
        <f>(K29+I29)-G29</f>
        <v>11270000</v>
      </c>
      <c r="M29" s="16">
        <f t="shared" ref="M29:M32" si="18">L29/E29</f>
        <v>0.1225</v>
      </c>
      <c r="O29" s="173"/>
      <c r="P29" s="174"/>
      <c r="Q29" s="174"/>
      <c r="R29" s="175"/>
    </row>
    <row r="30" spans="1:18" ht="39.75" customHeight="1" x14ac:dyDescent="0.3">
      <c r="A30" s="9" t="s">
        <v>171</v>
      </c>
      <c r="B30" s="10">
        <v>2000</v>
      </c>
      <c r="C30" s="25">
        <v>0.03</v>
      </c>
      <c r="D30" s="9">
        <v>15000</v>
      </c>
      <c r="E30" s="9">
        <f t="shared" si="15"/>
        <v>30000000</v>
      </c>
      <c r="F30" s="11">
        <v>0.25</v>
      </c>
      <c r="G30" s="9">
        <f t="shared" si="16"/>
        <v>7500000</v>
      </c>
      <c r="H30" s="12">
        <f t="shared" ref="H30:H33" si="19">(B30-(B30*F30))*D30</f>
        <v>22500000</v>
      </c>
      <c r="I30" s="13">
        <f t="shared" si="17"/>
        <v>630000</v>
      </c>
      <c r="J30" s="14">
        <v>0.3</v>
      </c>
      <c r="K30" s="9">
        <f t="shared" ref="K30:K32" si="20">J30*E30</f>
        <v>9000000</v>
      </c>
      <c r="L30" s="15">
        <f t="shared" ref="L30:L32" si="21">(K30+I30)-G30</f>
        <v>2130000</v>
      </c>
      <c r="M30" s="16">
        <f t="shared" si="18"/>
        <v>7.0999999999999994E-2</v>
      </c>
      <c r="O30" s="173"/>
      <c r="P30" s="174"/>
      <c r="Q30" s="174"/>
      <c r="R30" s="175"/>
    </row>
    <row r="31" spans="1:18" ht="39.75" customHeight="1" x14ac:dyDescent="0.3">
      <c r="A31" s="9" t="s">
        <v>172</v>
      </c>
      <c r="B31" s="10">
        <v>4700</v>
      </c>
      <c r="C31" s="25">
        <v>0.04</v>
      </c>
      <c r="D31" s="9">
        <v>12000</v>
      </c>
      <c r="E31" s="9">
        <f t="shared" si="15"/>
        <v>56400000</v>
      </c>
      <c r="F31" s="11">
        <v>0.2</v>
      </c>
      <c r="G31" s="9">
        <f t="shared" si="16"/>
        <v>11280000</v>
      </c>
      <c r="H31" s="12">
        <f t="shared" si="19"/>
        <v>45120000</v>
      </c>
      <c r="I31" s="13">
        <f t="shared" si="17"/>
        <v>1624320</v>
      </c>
      <c r="J31" s="14">
        <v>0.28000000000000003</v>
      </c>
      <c r="K31" s="9">
        <f t="shared" si="20"/>
        <v>15792000.000000002</v>
      </c>
      <c r="L31" s="15">
        <f t="shared" si="21"/>
        <v>6136320</v>
      </c>
      <c r="M31" s="16">
        <f t="shared" si="18"/>
        <v>0.10879999999999999</v>
      </c>
      <c r="O31" s="173"/>
      <c r="P31" s="174"/>
      <c r="Q31" s="174"/>
      <c r="R31" s="175"/>
    </row>
    <row r="32" spans="1:18" ht="39.75" customHeight="1" x14ac:dyDescent="0.3">
      <c r="A32" s="9" t="s">
        <v>173</v>
      </c>
      <c r="B32" s="10">
        <v>15000</v>
      </c>
      <c r="C32" s="25">
        <v>0.04</v>
      </c>
      <c r="D32" s="9">
        <v>10000</v>
      </c>
      <c r="E32" s="9">
        <f t="shared" si="15"/>
        <v>150000000</v>
      </c>
      <c r="F32" s="11">
        <v>0.09</v>
      </c>
      <c r="G32" s="9">
        <f t="shared" si="16"/>
        <v>13500000</v>
      </c>
      <c r="H32" s="12">
        <f t="shared" si="19"/>
        <v>136500000</v>
      </c>
      <c r="I32" s="13">
        <f t="shared" si="17"/>
        <v>5100000</v>
      </c>
      <c r="J32" s="14">
        <v>0.15</v>
      </c>
      <c r="K32" s="9">
        <f t="shared" si="20"/>
        <v>22500000</v>
      </c>
      <c r="L32" s="15">
        <f t="shared" si="21"/>
        <v>14100000</v>
      </c>
      <c r="M32" s="16">
        <f t="shared" si="18"/>
        <v>9.4E-2</v>
      </c>
      <c r="O32" s="173"/>
      <c r="P32" s="174"/>
      <c r="Q32" s="174"/>
      <c r="R32" s="175"/>
    </row>
    <row r="33" spans="1:18" ht="39.75" customHeight="1" x14ac:dyDescent="0.3">
      <c r="A33" s="9" t="s">
        <v>174</v>
      </c>
      <c r="B33" s="10">
        <v>27000</v>
      </c>
      <c r="C33" s="25">
        <v>2.5000000000000001E-2</v>
      </c>
      <c r="D33" s="9">
        <v>5000</v>
      </c>
      <c r="E33" s="9">
        <f t="shared" si="15"/>
        <v>135000000</v>
      </c>
      <c r="F33" s="11">
        <v>7.0000000000000007E-2</v>
      </c>
      <c r="G33" s="9">
        <f t="shared" si="16"/>
        <v>9450000</v>
      </c>
      <c r="H33" s="12">
        <f t="shared" si="19"/>
        <v>125550000</v>
      </c>
      <c r="I33" s="13">
        <f t="shared" ref="I33" si="22">((1-J33)*D33*B33)*C33</f>
        <v>3071250</v>
      </c>
      <c r="J33" s="14">
        <v>0.09</v>
      </c>
      <c r="K33" s="9">
        <f t="shared" ref="K33" si="23">J33*E33</f>
        <v>12150000</v>
      </c>
      <c r="L33" s="15">
        <f t="shared" ref="L33" si="24">(K33+I33)-G33</f>
        <v>5771250</v>
      </c>
      <c r="M33" s="16">
        <f t="shared" ref="M33" si="25">L33/E33</f>
        <v>4.2750000000000003E-2</v>
      </c>
      <c r="O33" s="173"/>
      <c r="P33" s="174"/>
      <c r="Q33" s="174"/>
      <c r="R33" s="175"/>
    </row>
    <row r="34" spans="1:18" ht="39.75" customHeight="1" thickBot="1" x14ac:dyDescent="0.35">
      <c r="A34" s="179" t="s">
        <v>16</v>
      </c>
      <c r="B34" s="180"/>
      <c r="C34" s="181"/>
      <c r="D34" s="17">
        <f>SUM(D29:D29)</f>
        <v>10000</v>
      </c>
      <c r="E34" s="17">
        <f>SUM(E29:E33)</f>
        <v>463400000</v>
      </c>
      <c r="F34" s="18">
        <v>0</v>
      </c>
      <c r="G34" s="19">
        <f>SUM(G29:G33)</f>
        <v>55530000</v>
      </c>
      <c r="H34" s="17">
        <f>SUM(H29:H33)</f>
        <v>407870000</v>
      </c>
      <c r="I34" s="17">
        <f>SUM(I29:I29)</f>
        <v>2070000</v>
      </c>
      <c r="J34" s="19"/>
      <c r="K34" s="17">
        <f>SUM(K29:K33)</f>
        <v>82442000</v>
      </c>
      <c r="L34" s="17">
        <f>SUM(L29:L33)</f>
        <v>39407570</v>
      </c>
      <c r="M34" s="20">
        <f t="shared" ref="M34" si="26">L34/E34</f>
        <v>8.5040073370738017E-2</v>
      </c>
      <c r="O34" s="173"/>
      <c r="P34" s="174"/>
      <c r="Q34" s="174"/>
      <c r="R34" s="175"/>
    </row>
    <row r="35" spans="1:18" ht="16.5" customHeight="1" x14ac:dyDescent="0.3">
      <c r="O35" s="173"/>
      <c r="P35" s="174"/>
      <c r="Q35" s="174"/>
      <c r="R35" s="175"/>
    </row>
    <row r="36" spans="1:18" ht="16.5" customHeight="1" x14ac:dyDescent="0.3">
      <c r="A36" s="170" t="s">
        <v>177</v>
      </c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2"/>
      <c r="O36" s="173"/>
      <c r="P36" s="174"/>
      <c r="Q36" s="174"/>
      <c r="R36" s="175"/>
    </row>
    <row r="37" spans="1:18" ht="16.5" customHeight="1" x14ac:dyDescent="0.3">
      <c r="A37" s="173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5"/>
      <c r="O37" s="173"/>
      <c r="P37" s="174"/>
      <c r="Q37" s="174"/>
      <c r="R37" s="175"/>
    </row>
    <row r="38" spans="1:18" ht="16.5" customHeight="1" x14ac:dyDescent="0.3">
      <c r="A38" s="173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5"/>
      <c r="O38" s="173"/>
      <c r="P38" s="174"/>
      <c r="Q38" s="174"/>
      <c r="R38" s="175"/>
    </row>
    <row r="39" spans="1:18" ht="16.5" customHeight="1" x14ac:dyDescent="0.3">
      <c r="A39" s="173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5"/>
      <c r="O39" s="176"/>
      <c r="P39" s="177"/>
      <c r="Q39" s="177"/>
      <c r="R39" s="178"/>
    </row>
    <row r="40" spans="1:18" ht="16.5" customHeight="1" x14ac:dyDescent="0.3">
      <c r="A40" s="173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5"/>
    </row>
    <row r="41" spans="1:18" ht="16.5" customHeight="1" x14ac:dyDescent="0.3">
      <c r="A41" s="173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5"/>
    </row>
    <row r="42" spans="1:18" ht="16.5" customHeight="1" x14ac:dyDescent="0.3">
      <c r="A42" s="173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5"/>
    </row>
    <row r="43" spans="1:18" x14ac:dyDescent="0.3">
      <c r="A43" s="173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5"/>
    </row>
    <row r="44" spans="1:18" x14ac:dyDescent="0.3">
      <c r="A44" s="173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5"/>
    </row>
    <row r="45" spans="1:18" x14ac:dyDescent="0.3">
      <c r="A45" s="173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5"/>
    </row>
    <row r="46" spans="1:18" x14ac:dyDescent="0.3">
      <c r="A46" s="173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5"/>
    </row>
    <row r="47" spans="1:18" x14ac:dyDescent="0.3">
      <c r="A47" s="173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5"/>
    </row>
    <row r="48" spans="1:18" x14ac:dyDescent="0.3">
      <c r="A48" s="176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8"/>
    </row>
  </sheetData>
  <mergeCells count="15">
    <mergeCell ref="A36:M48"/>
    <mergeCell ref="A34:C34"/>
    <mergeCell ref="O2:R10"/>
    <mergeCell ref="O15:R39"/>
    <mergeCell ref="A15:E16"/>
    <mergeCell ref="F15:H16"/>
    <mergeCell ref="I15:M16"/>
    <mergeCell ref="A23:C23"/>
    <mergeCell ref="A2:E3"/>
    <mergeCell ref="F2:H3"/>
    <mergeCell ref="I2:M3"/>
    <mergeCell ref="A10:C10"/>
    <mergeCell ref="A26:E27"/>
    <mergeCell ref="F26:H27"/>
    <mergeCell ref="I26:M27"/>
  </mergeCells>
  <phoneticPr fontId="3" type="noConversion"/>
  <pageMargins left="0.7" right="0.7" top="0.75" bottom="0.75" header="0.3" footer="0.3"/>
  <pageSetup paperSize="9" scale="41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A497-9788-4F8B-8CEC-B4662D868778}">
  <dimension ref="A1:N28"/>
  <sheetViews>
    <sheetView showGridLines="0" topLeftCell="A5" zoomScale="70" zoomScaleNormal="70" zoomScaleSheetLayoutView="85" workbookViewId="0">
      <selection activeCell="K26" sqref="K26"/>
    </sheetView>
  </sheetViews>
  <sheetFormatPr defaultRowHeight="16.5" x14ac:dyDescent="0.3"/>
  <cols>
    <col min="1" max="1" width="43" customWidth="1"/>
    <col min="2" max="2" width="12.875" bestFit="1" customWidth="1"/>
    <col min="3" max="3" width="12.875" customWidth="1"/>
    <col min="4" max="4" width="13.625" customWidth="1"/>
    <col min="5" max="5" width="13.125" customWidth="1"/>
    <col min="6" max="6" width="16.75" customWidth="1"/>
    <col min="7" max="7" width="9.75" customWidth="1"/>
    <col min="8" max="8" width="15.125" bestFit="1" customWidth="1"/>
    <col min="9" max="9" width="17.625" customWidth="1"/>
    <col min="10" max="10" width="23.625" customWidth="1"/>
    <col min="11" max="11" width="14.875" customWidth="1"/>
    <col min="12" max="12" width="19.375" customWidth="1"/>
    <col min="13" max="13" width="15" customWidth="1"/>
    <col min="14" max="14" width="13.75" customWidth="1"/>
    <col min="15" max="15" width="9.875" customWidth="1"/>
  </cols>
  <sheetData>
    <row r="1" spans="1:14" s="1" customFormat="1" ht="16.5" customHeight="1" x14ac:dyDescent="0.3">
      <c r="A1" s="133" t="s">
        <v>0</v>
      </c>
      <c r="B1" s="134"/>
      <c r="C1" s="134"/>
      <c r="D1" s="134"/>
      <c r="E1" s="134"/>
      <c r="F1" s="135"/>
      <c r="G1" s="139" t="s">
        <v>1</v>
      </c>
      <c r="H1" s="140"/>
      <c r="I1" s="141"/>
      <c r="J1" s="145" t="s">
        <v>2</v>
      </c>
      <c r="K1" s="146"/>
      <c r="L1" s="146"/>
      <c r="M1" s="146"/>
      <c r="N1" s="147"/>
    </row>
    <row r="2" spans="1:14" s="1" customFormat="1" ht="16.5" customHeight="1" x14ac:dyDescent="0.3">
      <c r="A2" s="136"/>
      <c r="B2" s="137"/>
      <c r="C2" s="137"/>
      <c r="D2" s="137"/>
      <c r="E2" s="137"/>
      <c r="F2" s="138"/>
      <c r="G2" s="142"/>
      <c r="H2" s="143"/>
      <c r="I2" s="144"/>
      <c r="J2" s="148"/>
      <c r="K2" s="149"/>
      <c r="L2" s="149"/>
      <c r="M2" s="149"/>
      <c r="N2" s="150"/>
    </row>
    <row r="3" spans="1:14" ht="34.5" x14ac:dyDescent="0.3">
      <c r="A3" s="2" t="s">
        <v>3</v>
      </c>
      <c r="B3" s="3" t="s">
        <v>4</v>
      </c>
      <c r="C3" s="3" t="s">
        <v>184</v>
      </c>
      <c r="D3" s="4" t="s">
        <v>5</v>
      </c>
      <c r="E3" s="3" t="s">
        <v>6</v>
      </c>
      <c r="F3" s="5" t="s">
        <v>7</v>
      </c>
      <c r="G3" s="2" t="s">
        <v>8</v>
      </c>
      <c r="H3" s="6" t="s">
        <v>9</v>
      </c>
      <c r="I3" s="7" t="s">
        <v>10</v>
      </c>
      <c r="J3" s="2" t="s">
        <v>11</v>
      </c>
      <c r="K3" s="3" t="s">
        <v>12</v>
      </c>
      <c r="L3" s="8" t="s">
        <v>13</v>
      </c>
      <c r="M3" s="8" t="s">
        <v>14</v>
      </c>
      <c r="N3" s="5" t="s">
        <v>15</v>
      </c>
    </row>
    <row r="4" spans="1:14" ht="40.5" customHeight="1" x14ac:dyDescent="0.3">
      <c r="A4" s="9" t="s">
        <v>97</v>
      </c>
      <c r="B4" s="29">
        <v>10000</v>
      </c>
      <c r="C4" s="29">
        <f>B4*(1-G4)</f>
        <v>7282</v>
      </c>
      <c r="D4" s="25">
        <v>0.02</v>
      </c>
      <c r="E4" s="9">
        <v>17431</v>
      </c>
      <c r="F4" s="9">
        <f>B4*E4</f>
        <v>174310000</v>
      </c>
      <c r="G4" s="126">
        <v>0.27179999999999999</v>
      </c>
      <c r="H4" s="9">
        <f t="shared" ref="H4:H7" si="0">G4*F4</f>
        <v>47377458</v>
      </c>
      <c r="I4" s="12">
        <f>(B4-(B4*G4))*E4</f>
        <v>126932542</v>
      </c>
      <c r="J4" s="13">
        <f t="shared" ref="J4:J7" si="1">((1-K4)*E4*B4)*D4</f>
        <v>3416476</v>
      </c>
      <c r="K4" s="14">
        <v>0.02</v>
      </c>
      <c r="L4" s="9">
        <f>K4*F4</f>
        <v>3486200</v>
      </c>
      <c r="M4" s="15">
        <f>(L4+J4)-H4</f>
        <v>-40474782</v>
      </c>
      <c r="N4" s="16">
        <f t="shared" ref="N4:N16" si="2">M4/F4</f>
        <v>-0.23219999999999999</v>
      </c>
    </row>
    <row r="5" spans="1:14" ht="40.5" customHeight="1" x14ac:dyDescent="0.3">
      <c r="A5" s="9" t="s">
        <v>98</v>
      </c>
      <c r="B5" s="29">
        <v>30000</v>
      </c>
      <c r="C5" s="29">
        <f t="shared" ref="C5:C13" si="3">B5*(1-G5)</f>
        <v>27027</v>
      </c>
      <c r="D5" s="25">
        <v>2.7E-2</v>
      </c>
      <c r="E5" s="9">
        <v>7208</v>
      </c>
      <c r="F5" s="9">
        <f t="shared" ref="F5:F13" si="4">B5*E5</f>
        <v>216240000</v>
      </c>
      <c r="G5" s="11">
        <v>9.9099999999999994E-2</v>
      </c>
      <c r="H5" s="9">
        <f t="shared" si="0"/>
        <v>21429384</v>
      </c>
      <c r="I5" s="12">
        <f t="shared" ref="I5:I7" si="5">(B5-(B5*G5))*E5</f>
        <v>194810616</v>
      </c>
      <c r="J5" s="13">
        <f t="shared" si="1"/>
        <v>5429786.4000000004</v>
      </c>
      <c r="K5" s="14">
        <v>7.0000000000000007E-2</v>
      </c>
      <c r="L5" s="9">
        <f t="shared" ref="L5:L7" si="6">K5*F5</f>
        <v>15136800.000000002</v>
      </c>
      <c r="M5" s="15">
        <f t="shared" ref="M5:M7" si="7">(L5+J5)-H5</f>
        <v>-862797.59999999776</v>
      </c>
      <c r="N5" s="16">
        <f t="shared" si="2"/>
        <v>-3.9899999999999901E-3</v>
      </c>
    </row>
    <row r="6" spans="1:14" ht="40.5" customHeight="1" x14ac:dyDescent="0.3">
      <c r="A6" s="9" t="s">
        <v>99</v>
      </c>
      <c r="B6" s="29">
        <v>50000</v>
      </c>
      <c r="C6" s="29">
        <f t="shared" si="3"/>
        <v>46730</v>
      </c>
      <c r="D6" s="25">
        <v>2.7E-2</v>
      </c>
      <c r="E6" s="9">
        <v>5164</v>
      </c>
      <c r="F6" s="9">
        <f t="shared" si="4"/>
        <v>258200000</v>
      </c>
      <c r="G6" s="11">
        <v>6.54E-2</v>
      </c>
      <c r="H6" s="9">
        <f t="shared" si="0"/>
        <v>16886280</v>
      </c>
      <c r="I6" s="12">
        <f t="shared" si="5"/>
        <v>241313720</v>
      </c>
      <c r="J6" s="13">
        <f t="shared" si="1"/>
        <v>6622830</v>
      </c>
      <c r="K6" s="14">
        <v>0.05</v>
      </c>
      <c r="L6" s="9">
        <f t="shared" si="6"/>
        <v>12910000</v>
      </c>
      <c r="M6" s="15">
        <f t="shared" si="7"/>
        <v>2646550</v>
      </c>
      <c r="N6" s="16">
        <f t="shared" si="2"/>
        <v>1.025E-2</v>
      </c>
    </row>
    <row r="7" spans="1:14" ht="40.5" customHeight="1" x14ac:dyDescent="0.3">
      <c r="A7" s="9" t="s">
        <v>130</v>
      </c>
      <c r="B7" s="29">
        <v>70000</v>
      </c>
      <c r="C7" s="29">
        <f t="shared" si="3"/>
        <v>65422</v>
      </c>
      <c r="D7" s="25">
        <v>2.7E-2</v>
      </c>
      <c r="E7" s="9">
        <v>4301</v>
      </c>
      <c r="F7" s="9">
        <f t="shared" si="4"/>
        <v>301070000</v>
      </c>
      <c r="G7" s="11">
        <v>6.54E-2</v>
      </c>
      <c r="H7" s="9">
        <f t="shared" si="0"/>
        <v>19689978</v>
      </c>
      <c r="I7" s="12">
        <f t="shared" si="5"/>
        <v>281380022</v>
      </c>
      <c r="J7" s="13">
        <f t="shared" si="1"/>
        <v>7803734.4000000004</v>
      </c>
      <c r="K7" s="14">
        <v>0.04</v>
      </c>
      <c r="L7" s="9">
        <f t="shared" si="6"/>
        <v>12042800</v>
      </c>
      <c r="M7" s="15">
        <f t="shared" si="7"/>
        <v>156556.39999999851</v>
      </c>
      <c r="N7" s="16">
        <f t="shared" si="2"/>
        <v>5.1999999999999508E-4</v>
      </c>
    </row>
    <row r="8" spans="1:14" ht="40.5" customHeight="1" x14ac:dyDescent="0.3">
      <c r="A8" s="9" t="s">
        <v>178</v>
      </c>
      <c r="B8" s="29">
        <v>100000</v>
      </c>
      <c r="C8" s="29">
        <f t="shared" si="3"/>
        <v>94760</v>
      </c>
      <c r="D8" s="25">
        <v>2.7E-2</v>
      </c>
      <c r="E8" s="9">
        <v>3444</v>
      </c>
      <c r="F8" s="9">
        <f t="shared" si="4"/>
        <v>344400000</v>
      </c>
      <c r="G8" s="11">
        <v>5.2400000000000002E-2</v>
      </c>
      <c r="H8" s="9">
        <f t="shared" ref="H8:H13" si="8">G8*F8</f>
        <v>18046560</v>
      </c>
      <c r="I8" s="12">
        <f t="shared" ref="I8:I13" si="9">(B8-(B8*G8))*E8</f>
        <v>326353440</v>
      </c>
      <c r="J8" s="13">
        <f t="shared" ref="J8:J13" si="10">((1-K8)*E8*B8)*D8</f>
        <v>9019836</v>
      </c>
      <c r="K8" s="14">
        <v>0.03</v>
      </c>
      <c r="L8" s="9">
        <f t="shared" ref="L8:L13" si="11">K8*F8</f>
        <v>10332000</v>
      </c>
      <c r="M8" s="15">
        <f t="shared" ref="M8:M13" si="12">(L8+J8)-H8</f>
        <v>1305276</v>
      </c>
      <c r="N8" s="16">
        <f t="shared" ref="N8:N13" si="13">M8/F8</f>
        <v>3.79E-3</v>
      </c>
    </row>
    <row r="9" spans="1:14" ht="40.5" customHeight="1" x14ac:dyDescent="0.3">
      <c r="A9" s="9" t="s">
        <v>179</v>
      </c>
      <c r="B9" s="29">
        <v>150000</v>
      </c>
      <c r="C9" s="29">
        <f t="shared" si="3"/>
        <v>142140</v>
      </c>
      <c r="D9" s="25">
        <v>2.7E-2</v>
      </c>
      <c r="E9" s="9">
        <v>1997</v>
      </c>
      <c r="F9" s="9">
        <f t="shared" si="4"/>
        <v>299550000</v>
      </c>
      <c r="G9" s="11">
        <v>5.2400000000000002E-2</v>
      </c>
      <c r="H9" s="9">
        <f t="shared" si="8"/>
        <v>15696420</v>
      </c>
      <c r="I9" s="12">
        <f t="shared" si="9"/>
        <v>283853580</v>
      </c>
      <c r="J9" s="13">
        <f t="shared" si="10"/>
        <v>7845214.5</v>
      </c>
      <c r="K9" s="14">
        <v>0.03</v>
      </c>
      <c r="L9" s="9">
        <f t="shared" si="11"/>
        <v>8986500</v>
      </c>
      <c r="M9" s="15">
        <f t="shared" si="12"/>
        <v>1135294.5</v>
      </c>
      <c r="N9" s="16">
        <f t="shared" si="13"/>
        <v>3.79E-3</v>
      </c>
    </row>
    <row r="10" spans="1:14" ht="40.5" customHeight="1" x14ac:dyDescent="0.3">
      <c r="A10" s="9" t="s">
        <v>180</v>
      </c>
      <c r="B10" s="29">
        <v>200000</v>
      </c>
      <c r="C10" s="29">
        <f t="shared" si="3"/>
        <v>192120</v>
      </c>
      <c r="D10" s="25">
        <v>2.7E-2</v>
      </c>
      <c r="E10" s="9">
        <v>1116</v>
      </c>
      <c r="F10" s="9">
        <f t="shared" si="4"/>
        <v>223200000</v>
      </c>
      <c r="G10" s="11">
        <v>3.9399999999999998E-2</v>
      </c>
      <c r="H10" s="9">
        <f t="shared" si="8"/>
        <v>8794080</v>
      </c>
      <c r="I10" s="12">
        <f t="shared" si="9"/>
        <v>214405920</v>
      </c>
      <c r="J10" s="13">
        <f t="shared" si="10"/>
        <v>5905872</v>
      </c>
      <c r="K10" s="14">
        <v>0.02</v>
      </c>
      <c r="L10" s="9">
        <f t="shared" si="11"/>
        <v>4464000</v>
      </c>
      <c r="M10" s="15">
        <f t="shared" si="12"/>
        <v>1575792</v>
      </c>
      <c r="N10" s="16">
        <f t="shared" si="13"/>
        <v>7.0600000000000003E-3</v>
      </c>
    </row>
    <row r="11" spans="1:14" ht="40.5" customHeight="1" x14ac:dyDescent="0.3">
      <c r="A11" s="9" t="s">
        <v>181</v>
      </c>
      <c r="B11" s="29">
        <v>250000</v>
      </c>
      <c r="C11" s="29">
        <f t="shared" si="3"/>
        <v>240150</v>
      </c>
      <c r="D11" s="25">
        <v>2.7E-2</v>
      </c>
      <c r="E11" s="9">
        <v>547</v>
      </c>
      <c r="F11" s="9">
        <f t="shared" si="4"/>
        <v>136750000</v>
      </c>
      <c r="G11" s="11">
        <v>3.9399999999999998E-2</v>
      </c>
      <c r="H11" s="9">
        <f t="shared" si="8"/>
        <v>5387950</v>
      </c>
      <c r="I11" s="12">
        <f t="shared" si="9"/>
        <v>131362050</v>
      </c>
      <c r="J11" s="13">
        <f t="shared" si="10"/>
        <v>3655327.5</v>
      </c>
      <c r="K11" s="14">
        <v>0.01</v>
      </c>
      <c r="L11" s="9">
        <f t="shared" si="11"/>
        <v>1367500</v>
      </c>
      <c r="M11" s="15">
        <f t="shared" si="12"/>
        <v>-365122.5</v>
      </c>
      <c r="N11" s="16">
        <f t="shared" si="13"/>
        <v>-2.6700000000000001E-3</v>
      </c>
    </row>
    <row r="12" spans="1:14" ht="40.5" customHeight="1" x14ac:dyDescent="0.3">
      <c r="A12" s="9" t="s">
        <v>182</v>
      </c>
      <c r="B12" s="29">
        <v>300000</v>
      </c>
      <c r="C12" s="29">
        <f t="shared" si="3"/>
        <v>292380</v>
      </c>
      <c r="D12" s="25">
        <v>2.7E-2</v>
      </c>
      <c r="E12" s="9">
        <v>174</v>
      </c>
      <c r="F12" s="9">
        <f t="shared" si="4"/>
        <v>52200000</v>
      </c>
      <c r="G12" s="11">
        <v>2.5399999999999999E-2</v>
      </c>
      <c r="H12" s="9">
        <f t="shared" si="8"/>
        <v>1325880</v>
      </c>
      <c r="I12" s="12">
        <f t="shared" si="9"/>
        <v>50874120</v>
      </c>
      <c r="J12" s="13">
        <f t="shared" si="10"/>
        <v>1409400</v>
      </c>
      <c r="K12" s="14">
        <v>0</v>
      </c>
      <c r="L12" s="9">
        <f t="shared" si="11"/>
        <v>0</v>
      </c>
      <c r="M12" s="15">
        <f t="shared" si="12"/>
        <v>83520</v>
      </c>
      <c r="N12" s="16">
        <f t="shared" si="13"/>
        <v>1.6000000000000001E-3</v>
      </c>
    </row>
    <row r="13" spans="1:14" ht="40.5" customHeight="1" x14ac:dyDescent="0.3">
      <c r="A13" s="9" t="s">
        <v>183</v>
      </c>
      <c r="B13" s="29">
        <v>350000</v>
      </c>
      <c r="C13" s="29">
        <f t="shared" si="3"/>
        <v>341110</v>
      </c>
      <c r="D13" s="25">
        <v>2.7E-2</v>
      </c>
      <c r="E13" s="9">
        <v>7</v>
      </c>
      <c r="F13" s="9">
        <f t="shared" si="4"/>
        <v>2450000</v>
      </c>
      <c r="G13" s="11">
        <v>2.5399999999999999E-2</v>
      </c>
      <c r="H13" s="9">
        <f t="shared" si="8"/>
        <v>62230</v>
      </c>
      <c r="I13" s="12">
        <f t="shared" si="9"/>
        <v>2387770</v>
      </c>
      <c r="J13" s="13">
        <f t="shared" si="10"/>
        <v>66150</v>
      </c>
      <c r="K13" s="14">
        <v>0</v>
      </c>
      <c r="L13" s="9">
        <f t="shared" si="11"/>
        <v>0</v>
      </c>
      <c r="M13" s="15">
        <f t="shared" si="12"/>
        <v>3920</v>
      </c>
      <c r="N13" s="16">
        <f t="shared" si="13"/>
        <v>1.6000000000000001E-3</v>
      </c>
    </row>
    <row r="14" spans="1:14" ht="40.5" customHeight="1" x14ac:dyDescent="0.3">
      <c r="A14" s="9"/>
      <c r="B14" s="10"/>
      <c r="C14" s="10"/>
      <c r="D14" s="25"/>
      <c r="E14" s="9"/>
      <c r="F14" s="9"/>
      <c r="G14" s="11"/>
      <c r="H14" s="9"/>
      <c r="I14" s="12"/>
      <c r="J14" s="13"/>
      <c r="K14" s="14"/>
      <c r="L14" s="9"/>
      <c r="M14" s="15"/>
      <c r="N14" s="16"/>
    </row>
    <row r="15" spans="1:14" ht="40.5" customHeight="1" x14ac:dyDescent="0.3">
      <c r="A15" s="9"/>
      <c r="B15" s="10"/>
      <c r="C15" s="10"/>
      <c r="D15" s="25"/>
      <c r="E15" s="9"/>
      <c r="F15" s="9"/>
      <c r="G15" s="11"/>
      <c r="H15" s="9"/>
      <c r="I15" s="12"/>
      <c r="J15" s="13"/>
      <c r="K15" s="14"/>
      <c r="L15" s="9"/>
      <c r="M15" s="15"/>
      <c r="N15" s="16"/>
    </row>
    <row r="16" spans="1:14" ht="36" customHeight="1" thickBot="1" x14ac:dyDescent="0.35">
      <c r="A16" s="160" t="s">
        <v>16</v>
      </c>
      <c r="B16" s="161"/>
      <c r="C16" s="161"/>
      <c r="D16" s="161"/>
      <c r="E16" s="17">
        <f>SUM(E4:E15)</f>
        <v>41389</v>
      </c>
      <c r="F16" s="17">
        <f>SUM(F4:F15)</f>
        <v>2008370000</v>
      </c>
      <c r="G16" s="18">
        <v>0</v>
      </c>
      <c r="H16" s="19">
        <f>SUM(H4:H15)</f>
        <v>154696220</v>
      </c>
      <c r="I16" s="17">
        <f>SUM(I4:I15)</f>
        <v>1853673780</v>
      </c>
      <c r="J16" s="17">
        <f>SUM(J4:J4)</f>
        <v>3416476</v>
      </c>
      <c r="K16" s="19"/>
      <c r="L16" s="17">
        <f>SUM(L4:L15)</f>
        <v>68725800</v>
      </c>
      <c r="M16" s="17">
        <f>SUM(M4:M15)</f>
        <v>-34795793.199999996</v>
      </c>
      <c r="N16" s="20">
        <f t="shared" si="2"/>
        <v>-1.7325389843504929E-2</v>
      </c>
    </row>
    <row r="17" spans="1:14" ht="17.45" customHeight="1" x14ac:dyDescent="0.3">
      <c r="A17" s="121"/>
      <c r="B17" s="87"/>
      <c r="C17" s="87"/>
      <c r="D17" s="26"/>
      <c r="F17" s="87"/>
      <c r="I17" s="86"/>
      <c r="J17" s="124"/>
    </row>
    <row r="18" spans="1:14" ht="16.5" customHeight="1" thickBot="1" x14ac:dyDescent="0.35">
      <c r="F18" s="21"/>
      <c r="G18" s="86"/>
      <c r="H18" s="86"/>
      <c r="I18" s="24"/>
    </row>
    <row r="19" spans="1:14" s="1" customFormat="1" ht="16.5" customHeight="1" x14ac:dyDescent="0.3">
      <c r="A19" s="133" t="s">
        <v>0</v>
      </c>
      <c r="B19" s="134"/>
      <c r="C19" s="134"/>
      <c r="D19" s="134"/>
      <c r="E19" s="134"/>
      <c r="F19" s="135"/>
      <c r="G19" s="139" t="s">
        <v>1</v>
      </c>
      <c r="H19" s="140"/>
      <c r="I19" s="141"/>
      <c r="J19" s="145" t="s">
        <v>2</v>
      </c>
      <c r="K19" s="146"/>
      <c r="L19" s="146"/>
      <c r="M19" s="146"/>
      <c r="N19" s="147"/>
    </row>
    <row r="20" spans="1:14" s="1" customFormat="1" ht="16.5" customHeight="1" x14ac:dyDescent="0.3">
      <c r="A20" s="136"/>
      <c r="B20" s="137"/>
      <c r="C20" s="137"/>
      <c r="D20" s="137"/>
      <c r="E20" s="137"/>
      <c r="F20" s="138"/>
      <c r="G20" s="142"/>
      <c r="H20" s="143"/>
      <c r="I20" s="144"/>
      <c r="J20" s="148"/>
      <c r="K20" s="149"/>
      <c r="L20" s="149"/>
      <c r="M20" s="149"/>
      <c r="N20" s="150"/>
    </row>
    <row r="21" spans="1:14" ht="34.5" x14ac:dyDescent="0.3">
      <c r="A21" s="2" t="s">
        <v>3</v>
      </c>
      <c r="B21" s="3" t="s">
        <v>4</v>
      </c>
      <c r="C21" s="3" t="s">
        <v>184</v>
      </c>
      <c r="D21" s="4" t="s">
        <v>5</v>
      </c>
      <c r="E21" s="3" t="s">
        <v>6</v>
      </c>
      <c r="F21" s="5" t="s">
        <v>7</v>
      </c>
      <c r="G21" s="2" t="s">
        <v>8</v>
      </c>
      <c r="H21" s="6" t="s">
        <v>9</v>
      </c>
      <c r="I21" s="7" t="s">
        <v>10</v>
      </c>
      <c r="J21" s="2" t="s">
        <v>11</v>
      </c>
      <c r="K21" s="3" t="s">
        <v>12</v>
      </c>
      <c r="L21" s="8" t="s">
        <v>13</v>
      </c>
      <c r="M21" s="8" t="s">
        <v>14</v>
      </c>
      <c r="N21" s="5" t="s">
        <v>15</v>
      </c>
    </row>
    <row r="22" spans="1:14" ht="40.5" customHeight="1" x14ac:dyDescent="0.3">
      <c r="A22" s="9" t="s">
        <v>97</v>
      </c>
      <c r="B22" s="29">
        <v>10000</v>
      </c>
      <c r="C22" s="29">
        <f>B22*(1-G22)</f>
        <v>7282</v>
      </c>
      <c r="D22" s="25">
        <v>0.02</v>
      </c>
      <c r="E22" s="9">
        <v>17431</v>
      </c>
      <c r="F22" s="9">
        <f>B22*E22</f>
        <v>174310000</v>
      </c>
      <c r="G22" s="126">
        <v>0.27179999999999999</v>
      </c>
      <c r="H22" s="9">
        <f t="shared" ref="H22:H25" si="14">G22*F22</f>
        <v>47377458</v>
      </c>
      <c r="I22" s="12">
        <f>(B22-(B22*G22))*E22</f>
        <v>126932542</v>
      </c>
      <c r="J22" s="13">
        <f t="shared" ref="J22:J25" si="15">((1-K22)*E22*B22)*D22</f>
        <v>3416476</v>
      </c>
      <c r="K22" s="14">
        <v>0.02</v>
      </c>
      <c r="L22" s="9">
        <f>K22*F22</f>
        <v>3486200</v>
      </c>
      <c r="M22" s="15">
        <f>(L22+J22)-H22</f>
        <v>-40474782</v>
      </c>
      <c r="N22" s="16">
        <f t="shared" ref="N22:N25" si="16">M22/F22</f>
        <v>-0.23219999999999999</v>
      </c>
    </row>
    <row r="23" spans="1:14" ht="40.5" customHeight="1" x14ac:dyDescent="0.3">
      <c r="A23" s="9" t="s">
        <v>98</v>
      </c>
      <c r="B23" s="29">
        <v>30000</v>
      </c>
      <c r="C23" s="29">
        <f t="shared" ref="C23:C25" si="17">B23*(1-G23)</f>
        <v>27027</v>
      </c>
      <c r="D23" s="25">
        <v>2.7E-2</v>
      </c>
      <c r="E23" s="9">
        <v>7208</v>
      </c>
      <c r="F23" s="9">
        <f t="shared" ref="F23:F25" si="18">B23*E23</f>
        <v>216240000</v>
      </c>
      <c r="G23" s="11">
        <v>9.9099999999999994E-2</v>
      </c>
      <c r="H23" s="9">
        <f t="shared" si="14"/>
        <v>21429384</v>
      </c>
      <c r="I23" s="12">
        <f t="shared" ref="I23:I25" si="19">(B23-(B23*G23))*E23</f>
        <v>194810616</v>
      </c>
      <c r="J23" s="13">
        <f t="shared" si="15"/>
        <v>5429786.4000000004</v>
      </c>
      <c r="K23" s="14">
        <v>7.0000000000000007E-2</v>
      </c>
      <c r="L23" s="9">
        <f t="shared" ref="L23:L25" si="20">K23*F23</f>
        <v>15136800.000000002</v>
      </c>
      <c r="M23" s="15">
        <f t="shared" ref="M23:M25" si="21">(L23+J23)-H23</f>
        <v>-862797.59999999776</v>
      </c>
      <c r="N23" s="16">
        <f t="shared" si="16"/>
        <v>-3.9899999999999901E-3</v>
      </c>
    </row>
    <row r="24" spans="1:14" ht="40.5" customHeight="1" x14ac:dyDescent="0.3">
      <c r="A24" s="9" t="s">
        <v>99</v>
      </c>
      <c r="B24" s="29">
        <v>50000</v>
      </c>
      <c r="C24" s="29">
        <f t="shared" si="17"/>
        <v>46730</v>
      </c>
      <c r="D24" s="25">
        <v>2.7E-2</v>
      </c>
      <c r="E24" s="9">
        <v>12449</v>
      </c>
      <c r="F24" s="9">
        <f t="shared" si="18"/>
        <v>622450000</v>
      </c>
      <c r="G24" s="11">
        <v>6.54E-2</v>
      </c>
      <c r="H24" s="9">
        <f t="shared" si="14"/>
        <v>40708230</v>
      </c>
      <c r="I24" s="12">
        <f t="shared" si="19"/>
        <v>581741770</v>
      </c>
      <c r="J24" s="13">
        <f t="shared" si="15"/>
        <v>14453289</v>
      </c>
      <c r="K24" s="14">
        <v>0.14000000000000001</v>
      </c>
      <c r="L24" s="9">
        <f t="shared" si="20"/>
        <v>87143000.000000015</v>
      </c>
      <c r="M24" s="15">
        <f t="shared" si="21"/>
        <v>60888059.000000015</v>
      </c>
      <c r="N24" s="16">
        <f t="shared" si="16"/>
        <v>9.7820000000000018E-2</v>
      </c>
    </row>
    <row r="25" spans="1:14" ht="40.5" customHeight="1" x14ac:dyDescent="0.3">
      <c r="A25" s="9" t="s">
        <v>130</v>
      </c>
      <c r="B25" s="29">
        <v>70000</v>
      </c>
      <c r="C25" s="29">
        <f t="shared" si="17"/>
        <v>65422</v>
      </c>
      <c r="D25" s="25">
        <v>2.7E-2</v>
      </c>
      <c r="E25" s="9">
        <v>4301</v>
      </c>
      <c r="F25" s="9">
        <f t="shared" si="18"/>
        <v>301070000</v>
      </c>
      <c r="G25" s="11">
        <v>6.54E-2</v>
      </c>
      <c r="H25" s="9">
        <f t="shared" si="14"/>
        <v>19689978</v>
      </c>
      <c r="I25" s="12">
        <f t="shared" si="19"/>
        <v>281380022</v>
      </c>
      <c r="J25" s="13">
        <f t="shared" si="15"/>
        <v>7803734.4000000004</v>
      </c>
      <c r="K25" s="14">
        <v>0.04</v>
      </c>
      <c r="L25" s="9">
        <f t="shared" si="20"/>
        <v>12042800</v>
      </c>
      <c r="M25" s="15">
        <f t="shared" si="21"/>
        <v>156556.39999999851</v>
      </c>
      <c r="N25" s="16">
        <f t="shared" si="16"/>
        <v>5.1999999999999508E-4</v>
      </c>
    </row>
    <row r="26" spans="1:14" ht="40.5" customHeight="1" x14ac:dyDescent="0.3">
      <c r="A26" s="9"/>
      <c r="B26" s="10"/>
      <c r="C26" s="10"/>
      <c r="D26" s="25"/>
      <c r="E26" s="9"/>
      <c r="F26" s="9"/>
      <c r="G26" s="11"/>
      <c r="H26" s="9"/>
      <c r="I26" s="12"/>
      <c r="J26" s="13"/>
      <c r="K26" s="14"/>
      <c r="L26" s="9"/>
      <c r="M26" s="15"/>
      <c r="N26" s="16"/>
    </row>
    <row r="27" spans="1:14" ht="40.5" customHeight="1" x14ac:dyDescent="0.3">
      <c r="A27" s="9"/>
      <c r="B27" s="10"/>
      <c r="C27" s="10"/>
      <c r="D27" s="25"/>
      <c r="E27" s="9"/>
      <c r="F27" s="9"/>
      <c r="G27" s="11"/>
      <c r="H27" s="9"/>
      <c r="I27" s="12"/>
      <c r="J27" s="13"/>
      <c r="K27" s="14"/>
      <c r="L27" s="9"/>
      <c r="M27" s="15"/>
      <c r="N27" s="16"/>
    </row>
    <row r="28" spans="1:14" ht="36" customHeight="1" thickBot="1" x14ac:dyDescent="0.35">
      <c r="A28" s="160" t="s">
        <v>16</v>
      </c>
      <c r="B28" s="161"/>
      <c r="C28" s="161"/>
      <c r="D28" s="161"/>
      <c r="E28" s="17">
        <f>SUM(E22:E27)</f>
        <v>41389</v>
      </c>
      <c r="F28" s="17">
        <f>SUM(F22:F27)</f>
        <v>1314070000</v>
      </c>
      <c r="G28" s="18">
        <v>0</v>
      </c>
      <c r="H28" s="19">
        <f>SUM(H22:H27)</f>
        <v>129205050</v>
      </c>
      <c r="I28" s="17">
        <f>SUM(I22:I27)</f>
        <v>1184864950</v>
      </c>
      <c r="J28" s="17">
        <f>SUM(J22:J22)</f>
        <v>3416476</v>
      </c>
      <c r="K28" s="19"/>
      <c r="L28" s="17">
        <f>SUM(L22:L27)</f>
        <v>117808800.00000001</v>
      </c>
      <c r="M28" s="17">
        <f>SUM(M22:M27)</f>
        <v>19707035.800000019</v>
      </c>
      <c r="N28" s="20">
        <f t="shared" ref="N28" si="22">M28/F28</f>
        <v>1.4996945216008294E-2</v>
      </c>
    </row>
  </sheetData>
  <mergeCells count="8">
    <mergeCell ref="A28:D28"/>
    <mergeCell ref="A1:F2"/>
    <mergeCell ref="G1:I2"/>
    <mergeCell ref="J1:N2"/>
    <mergeCell ref="A16:D16"/>
    <mergeCell ref="A19:F20"/>
    <mergeCell ref="G19:I20"/>
    <mergeCell ref="J19:N20"/>
  </mergeCells>
  <phoneticPr fontId="3" type="noConversion"/>
  <pageMargins left="0.7" right="0.7" top="0.75" bottom="0.75" header="0.3" footer="0.3"/>
  <pageSetup paperSize="9" scale="41" orientation="landscape" r:id="rId1"/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B7E8-74C5-4910-8E3E-942050469581}">
  <dimension ref="A1:Q62"/>
  <sheetViews>
    <sheetView topLeftCell="B12" workbookViewId="0">
      <selection activeCell="K30" sqref="K30"/>
    </sheetView>
  </sheetViews>
  <sheetFormatPr defaultRowHeight="16.5" x14ac:dyDescent="0.3"/>
  <cols>
    <col min="1" max="1" width="5.25" bestFit="1" customWidth="1"/>
    <col min="2" max="2" width="25" bestFit="1" customWidth="1"/>
    <col min="3" max="4" width="21.875" bestFit="1" customWidth="1"/>
    <col min="5" max="5" width="14.375" bestFit="1" customWidth="1"/>
    <col min="6" max="6" width="13.375" bestFit="1" customWidth="1"/>
    <col min="7" max="7" width="7.5" bestFit="1" customWidth="1"/>
    <col min="8" max="8" width="13" bestFit="1" customWidth="1"/>
    <col min="9" max="10" width="16.375" bestFit="1" customWidth="1"/>
    <col min="11" max="11" width="9.75" customWidth="1"/>
    <col min="12" max="13" width="14.625" bestFit="1" customWidth="1"/>
    <col min="14" max="14" width="15.25" customWidth="1"/>
    <col min="15" max="15" width="11.25" bestFit="1" customWidth="1"/>
    <col min="16" max="16" width="11.625" bestFit="1" customWidth="1"/>
  </cols>
  <sheetData>
    <row r="1" spans="1:17" ht="17.25" thickBot="1" x14ac:dyDescent="0.35">
      <c r="A1" s="62" t="s">
        <v>100</v>
      </c>
      <c r="B1" s="62" t="s">
        <v>101</v>
      </c>
      <c r="C1" s="62" t="s">
        <v>102</v>
      </c>
      <c r="D1" s="62" t="s">
        <v>103</v>
      </c>
      <c r="E1" s="62" t="s">
        <v>104</v>
      </c>
      <c r="F1" s="62" t="s">
        <v>105</v>
      </c>
      <c r="G1" s="62" t="s">
        <v>106</v>
      </c>
      <c r="H1" s="62" t="s">
        <v>107</v>
      </c>
      <c r="I1" s="62" t="s">
        <v>108</v>
      </c>
      <c r="J1" s="63" t="s">
        <v>109</v>
      </c>
      <c r="K1" s="102" t="s">
        <v>151</v>
      </c>
      <c r="L1" s="99" t="s">
        <v>127</v>
      </c>
      <c r="M1" s="99" t="s">
        <v>128</v>
      </c>
      <c r="N1" s="96" t="s">
        <v>150</v>
      </c>
      <c r="O1" s="33" t="s">
        <v>131</v>
      </c>
      <c r="P1" s="33" t="s">
        <v>132</v>
      </c>
      <c r="Q1" s="33" t="s">
        <v>133</v>
      </c>
    </row>
    <row r="2" spans="1:17" ht="17.25" thickBot="1" x14ac:dyDescent="0.35">
      <c r="A2" s="64">
        <v>1</v>
      </c>
      <c r="B2" s="64" t="s">
        <v>110</v>
      </c>
      <c r="C2" s="64" t="s">
        <v>111</v>
      </c>
      <c r="D2" s="64" t="s">
        <v>112</v>
      </c>
      <c r="E2" s="78">
        <v>1520709000</v>
      </c>
      <c r="F2" s="64">
        <v>92.926000000000002</v>
      </c>
      <c r="G2" s="64"/>
      <c r="H2" s="64" t="s">
        <v>113</v>
      </c>
      <c r="I2" s="68">
        <v>45485.563622685186</v>
      </c>
      <c r="J2" s="79" t="s">
        <v>114</v>
      </c>
      <c r="K2" s="103"/>
      <c r="L2" s="100">
        <v>1700000000</v>
      </c>
      <c r="M2" s="100">
        <v>1624000000</v>
      </c>
      <c r="N2" s="108">
        <f>1520064000/M2</f>
        <v>0.93600000000000005</v>
      </c>
      <c r="O2" s="97">
        <f>100%-M3</f>
        <v>4.4705882352941151E-2</v>
      </c>
      <c r="P2" s="97">
        <f>100%-N2</f>
        <v>6.3999999999999946E-2</v>
      </c>
      <c r="Q2" s="97">
        <f>O2+P2</f>
        <v>0.1087058823529411</v>
      </c>
    </row>
    <row r="3" spans="1:17" ht="17.25" thickBot="1" x14ac:dyDescent="0.35">
      <c r="A3" s="70">
        <v>2</v>
      </c>
      <c r="B3" s="70" t="s">
        <v>115</v>
      </c>
      <c r="C3" s="70" t="s">
        <v>116</v>
      </c>
      <c r="D3" s="70" t="s">
        <v>117</v>
      </c>
      <c r="E3" s="80">
        <v>1534562700</v>
      </c>
      <c r="F3" s="70">
        <v>93.772999999999996</v>
      </c>
      <c r="G3" s="70"/>
      <c r="H3" s="70" t="s">
        <v>118</v>
      </c>
      <c r="I3" s="71">
        <v>45485.624803240738</v>
      </c>
      <c r="J3" s="81" t="s">
        <v>114</v>
      </c>
      <c r="K3" s="104"/>
      <c r="L3" s="10"/>
      <c r="M3" s="30">
        <f>M2/L2</f>
        <v>0.95529411764705885</v>
      </c>
      <c r="N3" s="100">
        <v>1520709000</v>
      </c>
      <c r="O3" s="27"/>
      <c r="P3" s="27"/>
      <c r="Q3" s="27"/>
    </row>
    <row r="4" spans="1:17" ht="17.25" thickBot="1" x14ac:dyDescent="0.35">
      <c r="A4" s="72">
        <v>3</v>
      </c>
      <c r="B4" s="72" t="s">
        <v>119</v>
      </c>
      <c r="C4" s="72" t="s">
        <v>120</v>
      </c>
      <c r="D4" s="72" t="s">
        <v>121</v>
      </c>
      <c r="E4" s="82">
        <v>1550575950</v>
      </c>
      <c r="F4" s="72">
        <v>94.751000000000005</v>
      </c>
      <c r="G4" s="72"/>
      <c r="H4" s="72" t="s">
        <v>122</v>
      </c>
      <c r="I4" s="76">
        <v>45485.561666666668</v>
      </c>
      <c r="J4" s="83" t="s">
        <v>114</v>
      </c>
      <c r="K4" s="105"/>
      <c r="L4" s="106"/>
      <c r="M4" s="106"/>
      <c r="N4" s="109"/>
      <c r="O4" s="98"/>
      <c r="P4" s="98"/>
      <c r="Q4" s="98"/>
    </row>
    <row r="5" spans="1:17" ht="17.25" thickBot="1" x14ac:dyDescent="0.35">
      <c r="A5" s="72">
        <v>4</v>
      </c>
      <c r="B5" s="72" t="s">
        <v>123</v>
      </c>
      <c r="C5" s="72" t="s">
        <v>124</v>
      </c>
      <c r="D5" s="72" t="s">
        <v>125</v>
      </c>
      <c r="E5" s="82">
        <v>1567882450</v>
      </c>
      <c r="F5" s="72">
        <v>95.808999999999997</v>
      </c>
      <c r="G5" s="72"/>
      <c r="H5" s="72" t="s">
        <v>126</v>
      </c>
      <c r="I5" s="76">
        <v>45483.618564814817</v>
      </c>
      <c r="J5" s="83" t="s">
        <v>114</v>
      </c>
      <c r="K5" s="101"/>
      <c r="N5" s="84"/>
      <c r="O5" s="84"/>
      <c r="P5" s="84"/>
      <c r="Q5" s="84"/>
    </row>
    <row r="6" spans="1:17" x14ac:dyDescent="0.3">
      <c r="A6" s="84"/>
      <c r="B6" s="84"/>
      <c r="C6" s="84"/>
      <c r="D6" s="84"/>
      <c r="E6" s="84"/>
      <c r="F6" s="84"/>
      <c r="G6" s="84"/>
      <c r="H6" s="84"/>
      <c r="I6" s="84"/>
      <c r="J6" s="84"/>
      <c r="K6" s="27" t="s">
        <v>129</v>
      </c>
      <c r="L6" s="99" t="s">
        <v>127</v>
      </c>
      <c r="M6" s="99" t="s">
        <v>128</v>
      </c>
      <c r="N6" s="96" t="s">
        <v>150</v>
      </c>
      <c r="O6" s="33" t="s">
        <v>131</v>
      </c>
      <c r="P6" s="33" t="s">
        <v>132</v>
      </c>
      <c r="Q6" s="33" t="s">
        <v>133</v>
      </c>
    </row>
    <row r="7" spans="1:17" x14ac:dyDescent="0.3">
      <c r="A7" s="84"/>
      <c r="B7" s="202" t="s">
        <v>148</v>
      </c>
      <c r="C7" s="202"/>
      <c r="D7" s="202"/>
      <c r="E7" s="202"/>
      <c r="F7" s="202"/>
      <c r="G7" s="202"/>
      <c r="H7" s="202"/>
      <c r="I7" s="202"/>
      <c r="J7" s="202"/>
      <c r="K7" s="27"/>
      <c r="L7" s="100">
        <v>2000000000</v>
      </c>
      <c r="M7" s="100">
        <v>1966459500</v>
      </c>
      <c r="N7" s="110">
        <f>1779645847/M7</f>
        <v>0.90499999974573597</v>
      </c>
      <c r="O7" s="107">
        <f>100%-M8</f>
        <v>1.6770249999999987E-2</v>
      </c>
      <c r="P7" s="107">
        <f>100%-N7</f>
        <v>9.5000000254264028E-2</v>
      </c>
      <c r="Q7" s="107">
        <f>O7+P7</f>
        <v>0.11177025025426401</v>
      </c>
    </row>
    <row r="8" spans="1:17" x14ac:dyDescent="0.3">
      <c r="A8" s="84"/>
      <c r="B8" s="202"/>
      <c r="C8" s="202"/>
      <c r="D8" s="202"/>
      <c r="E8" s="202"/>
      <c r="F8" s="202"/>
      <c r="G8" s="202"/>
      <c r="H8" s="202"/>
      <c r="I8" s="202"/>
      <c r="J8" s="202"/>
      <c r="K8" s="27"/>
      <c r="L8" s="10"/>
      <c r="M8" s="30">
        <f>M7/L7</f>
        <v>0.98322975000000001</v>
      </c>
      <c r="N8" s="29">
        <v>1779645847</v>
      </c>
      <c r="O8" s="10"/>
      <c r="P8" s="10"/>
      <c r="Q8" s="10"/>
    </row>
    <row r="9" spans="1:17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98"/>
    </row>
    <row r="10" spans="1:17" x14ac:dyDescent="0.3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90"/>
    </row>
    <row r="11" spans="1:17" x14ac:dyDescent="0.3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90"/>
    </row>
    <row r="12" spans="1:17" x14ac:dyDescent="0.3">
      <c r="A12" s="84"/>
      <c r="B12" s="84" t="s">
        <v>152</v>
      </c>
      <c r="C12" s="85">
        <v>1624000000</v>
      </c>
      <c r="D12" s="84"/>
      <c r="E12" s="84"/>
      <c r="F12" s="84"/>
      <c r="G12" s="84"/>
      <c r="H12" s="84"/>
      <c r="I12" s="84"/>
      <c r="J12" s="84"/>
      <c r="K12" s="90"/>
    </row>
    <row r="13" spans="1:17" x14ac:dyDescent="0.3">
      <c r="A13" s="84"/>
      <c r="B13" s="84" t="s">
        <v>153</v>
      </c>
      <c r="C13" s="85">
        <v>1534562700</v>
      </c>
      <c r="D13" s="94">
        <v>0.93772999999999995</v>
      </c>
      <c r="E13" s="84"/>
      <c r="F13" s="84"/>
      <c r="G13" s="84"/>
      <c r="H13" s="84"/>
      <c r="I13" s="84"/>
      <c r="J13" s="84"/>
      <c r="K13" s="90"/>
    </row>
    <row r="14" spans="1:17" x14ac:dyDescent="0.3">
      <c r="A14" s="84"/>
      <c r="B14" s="84"/>
      <c r="C14" s="85">
        <v>89437300</v>
      </c>
      <c r="D14" s="84"/>
      <c r="E14" s="84"/>
      <c r="F14" s="84"/>
      <c r="G14" s="84"/>
      <c r="H14" s="84"/>
      <c r="I14" s="84"/>
      <c r="J14" s="84"/>
      <c r="K14" s="90"/>
    </row>
    <row r="15" spans="1:17" x14ac:dyDescent="0.3">
      <c r="A15" s="84"/>
      <c r="B15" s="84"/>
      <c r="C15" s="95">
        <v>5.5072229064039406E-2</v>
      </c>
      <c r="D15" s="84"/>
      <c r="E15" s="84"/>
      <c r="F15" s="84"/>
      <c r="G15" s="84"/>
      <c r="H15" s="84"/>
      <c r="I15" s="84"/>
      <c r="J15" s="84"/>
      <c r="K15" s="90"/>
    </row>
    <row r="16" spans="1:17" x14ac:dyDescent="0.3">
      <c r="A16" s="84"/>
      <c r="B16" s="84" t="s">
        <v>154</v>
      </c>
      <c r="C16" s="85">
        <v>1550575950</v>
      </c>
      <c r="D16" s="94">
        <v>0.94750999999999996</v>
      </c>
      <c r="E16" s="84"/>
      <c r="F16" s="84"/>
      <c r="G16" s="84"/>
      <c r="H16" s="84"/>
      <c r="I16" s="84"/>
      <c r="J16" s="84"/>
      <c r="K16" s="90"/>
    </row>
    <row r="17" spans="1:11" x14ac:dyDescent="0.3">
      <c r="A17" s="84"/>
      <c r="B17" s="84"/>
      <c r="C17" s="85">
        <v>73424050</v>
      </c>
      <c r="D17" s="84"/>
      <c r="E17" s="84"/>
      <c r="F17" s="84"/>
      <c r="G17" s="84"/>
      <c r="H17" s="84"/>
      <c r="I17" s="84"/>
      <c r="J17" s="84"/>
      <c r="K17" s="90"/>
    </row>
    <row r="18" spans="1:11" x14ac:dyDescent="0.3">
      <c r="A18" s="84"/>
      <c r="B18" s="84"/>
      <c r="C18" s="95">
        <v>4.5211853448275864E-2</v>
      </c>
      <c r="D18" s="84"/>
      <c r="E18" s="84"/>
      <c r="F18" s="84"/>
      <c r="G18" s="84"/>
      <c r="H18" s="84"/>
      <c r="I18" s="84"/>
      <c r="J18" s="84"/>
      <c r="K18" s="90"/>
    </row>
    <row r="19" spans="1:11" x14ac:dyDescent="0.3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90"/>
    </row>
    <row r="20" spans="1:11" x14ac:dyDescent="0.3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90"/>
    </row>
    <row r="21" spans="1:11" x14ac:dyDescent="0.3">
      <c r="A21" s="84"/>
      <c r="B21" s="118"/>
      <c r="C21" s="118" t="s">
        <v>155</v>
      </c>
      <c r="D21" s="118" t="s">
        <v>156</v>
      </c>
      <c r="E21" s="118"/>
      <c r="F21" s="119"/>
      <c r="G21" s="118" t="s">
        <v>8</v>
      </c>
      <c r="H21" s="118" t="s">
        <v>9</v>
      </c>
      <c r="I21" s="118" t="s">
        <v>165</v>
      </c>
      <c r="J21" s="84"/>
      <c r="K21" s="90"/>
    </row>
    <row r="22" spans="1:11" x14ac:dyDescent="0.3">
      <c r="A22" s="84"/>
      <c r="B22" s="10" t="s">
        <v>157</v>
      </c>
      <c r="C22" s="10">
        <v>10000</v>
      </c>
      <c r="D22" s="10">
        <v>17431</v>
      </c>
      <c r="E22" s="29">
        <f>D22*C23</f>
        <v>174310000</v>
      </c>
      <c r="F22" s="34"/>
      <c r="G22" s="111">
        <v>0.2</v>
      </c>
      <c r="H22" s="112">
        <f>E22*G22</f>
        <v>34862000</v>
      </c>
      <c r="I22" s="112">
        <f>E22-H22</f>
        <v>139448000</v>
      </c>
      <c r="J22" s="84"/>
      <c r="K22" s="90"/>
    </row>
    <row r="23" spans="1:11" x14ac:dyDescent="0.3">
      <c r="A23" s="84"/>
      <c r="B23" s="10" t="s">
        <v>158</v>
      </c>
      <c r="C23" s="10">
        <v>10000</v>
      </c>
      <c r="D23" s="10"/>
      <c r="E23" s="10"/>
      <c r="F23" s="10"/>
      <c r="G23" s="10"/>
      <c r="H23" s="112">
        <f t="shared" ref="H23:H27" si="0">E23*G23</f>
        <v>0</v>
      </c>
      <c r="I23" s="112">
        <f t="shared" ref="I23:I27" si="1">E23-H23</f>
        <v>0</v>
      </c>
      <c r="J23" s="84"/>
      <c r="K23" s="90"/>
    </row>
    <row r="24" spans="1:11" x14ac:dyDescent="0.3">
      <c r="A24" s="84"/>
      <c r="B24" s="10" t="s">
        <v>159</v>
      </c>
      <c r="C24" s="10">
        <v>10000</v>
      </c>
      <c r="D24" s="10"/>
      <c r="E24" s="10"/>
      <c r="F24" s="10"/>
      <c r="G24" s="10"/>
      <c r="H24" s="112">
        <f t="shared" si="0"/>
        <v>0</v>
      </c>
      <c r="I24" s="112">
        <f t="shared" si="1"/>
        <v>0</v>
      </c>
      <c r="J24" s="84"/>
      <c r="K24" s="90"/>
    </row>
    <row r="25" spans="1:11" x14ac:dyDescent="0.3">
      <c r="A25" s="84"/>
      <c r="B25" s="10" t="s">
        <v>160</v>
      </c>
      <c r="C25" s="10">
        <v>30000</v>
      </c>
      <c r="D25" s="10">
        <v>7208</v>
      </c>
      <c r="E25" s="29">
        <f t="shared" ref="E25:E27" si="2">D25*C25</f>
        <v>216240000</v>
      </c>
      <c r="F25" s="10"/>
      <c r="G25" s="120">
        <v>7.0000000000000007E-2</v>
      </c>
      <c r="H25" s="112">
        <f t="shared" si="0"/>
        <v>15136800.000000002</v>
      </c>
      <c r="I25" s="112">
        <f t="shared" si="1"/>
        <v>201103200</v>
      </c>
      <c r="J25" s="84"/>
      <c r="K25" s="90"/>
    </row>
    <row r="26" spans="1:11" x14ac:dyDescent="0.3">
      <c r="A26" s="84"/>
      <c r="B26" s="10"/>
      <c r="C26" s="10">
        <v>50000</v>
      </c>
      <c r="D26" s="10">
        <v>26531</v>
      </c>
      <c r="E26" s="29">
        <f t="shared" si="2"/>
        <v>1326550000</v>
      </c>
      <c r="F26" s="10"/>
      <c r="G26" s="120">
        <v>0.04</v>
      </c>
      <c r="H26" s="112">
        <f t="shared" si="0"/>
        <v>53062000</v>
      </c>
      <c r="I26" s="112">
        <f t="shared" si="1"/>
        <v>1273488000</v>
      </c>
      <c r="J26" s="84"/>
      <c r="K26" s="90"/>
    </row>
    <row r="27" spans="1:11" x14ac:dyDescent="0.3">
      <c r="A27" s="84"/>
      <c r="B27" s="10"/>
      <c r="C27" s="10">
        <v>70000</v>
      </c>
      <c r="D27" s="10">
        <v>4301</v>
      </c>
      <c r="E27" s="29">
        <f t="shared" si="2"/>
        <v>301070000</v>
      </c>
      <c r="F27" s="10"/>
      <c r="G27" s="120">
        <v>3.7999999999999999E-2</v>
      </c>
      <c r="H27" s="112">
        <f t="shared" si="0"/>
        <v>11440660</v>
      </c>
      <c r="I27" s="112">
        <f t="shared" si="1"/>
        <v>289629340</v>
      </c>
      <c r="J27" s="84"/>
      <c r="K27" s="90"/>
    </row>
    <row r="28" spans="1:11" x14ac:dyDescent="0.3">
      <c r="A28" s="84"/>
      <c r="B28" s="10"/>
      <c r="C28" s="10"/>
      <c r="D28" s="10"/>
      <c r="E28" s="10"/>
      <c r="F28" s="10"/>
      <c r="G28" s="10"/>
      <c r="H28" s="10"/>
      <c r="I28" s="113">
        <f>SUM(I22:I27)</f>
        <v>1903668540</v>
      </c>
      <c r="J28" s="84"/>
      <c r="K28" s="90"/>
    </row>
    <row r="29" spans="1:11" x14ac:dyDescent="0.3">
      <c r="A29" s="84"/>
      <c r="B29" s="115"/>
      <c r="C29" s="115"/>
      <c r="D29" s="115"/>
      <c r="E29" s="115"/>
      <c r="F29" s="115"/>
      <c r="G29" s="115"/>
      <c r="H29" s="116">
        <f>SUM(H22:H28)</f>
        <v>114501460</v>
      </c>
      <c r="I29" s="123">
        <f>H29/F37</f>
        <v>5.725073E-2</v>
      </c>
      <c r="J29" s="84">
        <v>5.7</v>
      </c>
      <c r="K29" s="90"/>
    </row>
    <row r="30" spans="1:11" x14ac:dyDescent="0.3">
      <c r="B30" s="10"/>
      <c r="C30" s="10" t="s">
        <v>155</v>
      </c>
      <c r="D30" s="10" t="s">
        <v>156</v>
      </c>
      <c r="E30" s="10"/>
      <c r="F30" s="10"/>
      <c r="G30" s="10"/>
      <c r="H30" s="10"/>
      <c r="I30" s="10"/>
    </row>
    <row r="31" spans="1:11" x14ac:dyDescent="0.3">
      <c r="A31" s="84"/>
      <c r="B31" s="10" t="s">
        <v>157</v>
      </c>
      <c r="C31" s="10">
        <v>10000</v>
      </c>
      <c r="D31" s="10">
        <v>17431</v>
      </c>
      <c r="E31" s="29">
        <f>D31*C32</f>
        <v>174310000</v>
      </c>
      <c r="F31" s="10"/>
      <c r="G31" s="111">
        <v>0.2</v>
      </c>
      <c r="H31" s="112">
        <f>E31*G31</f>
        <v>34862000</v>
      </c>
      <c r="I31" s="112">
        <f>E31-H31</f>
        <v>139448000</v>
      </c>
      <c r="J31" s="84"/>
      <c r="K31" s="90"/>
    </row>
    <row r="32" spans="1:11" x14ac:dyDescent="0.3">
      <c r="A32" s="84"/>
      <c r="B32" s="10" t="s">
        <v>158</v>
      </c>
      <c r="C32" s="10">
        <v>10000</v>
      </c>
      <c r="D32" s="10"/>
      <c r="E32" s="10"/>
      <c r="F32" s="10"/>
      <c r="G32" s="10"/>
      <c r="H32" s="112">
        <f t="shared" ref="H32:H36" si="3">E32*G32</f>
        <v>0</v>
      </c>
      <c r="I32" s="112">
        <f t="shared" ref="I32:I36" si="4">E32-H32</f>
        <v>0</v>
      </c>
      <c r="J32" s="84"/>
      <c r="K32" s="90"/>
    </row>
    <row r="33" spans="1:11" x14ac:dyDescent="0.3">
      <c r="A33" s="84"/>
      <c r="B33" s="10" t="s">
        <v>159</v>
      </c>
      <c r="C33" s="10">
        <v>10000</v>
      </c>
      <c r="D33" s="10"/>
      <c r="E33" s="10"/>
      <c r="F33" s="10"/>
      <c r="G33" s="10"/>
      <c r="H33" s="112">
        <f t="shared" si="3"/>
        <v>0</v>
      </c>
      <c r="I33" s="112">
        <f t="shared" si="4"/>
        <v>0</v>
      </c>
      <c r="J33" s="84"/>
      <c r="K33" s="90"/>
    </row>
    <row r="34" spans="1:11" x14ac:dyDescent="0.3">
      <c r="A34" s="84"/>
      <c r="B34" s="10" t="s">
        <v>160</v>
      </c>
      <c r="C34" s="10">
        <v>30000</v>
      </c>
      <c r="D34" s="10">
        <v>7208</v>
      </c>
      <c r="E34" s="29">
        <f t="shared" ref="E34:E36" si="5">D34*C34</f>
        <v>216240000</v>
      </c>
      <c r="F34" s="10"/>
      <c r="G34" s="111">
        <v>0.12</v>
      </c>
      <c r="H34" s="112">
        <f t="shared" si="3"/>
        <v>25948800</v>
      </c>
      <c r="I34" s="112">
        <f t="shared" si="4"/>
        <v>190291200</v>
      </c>
      <c r="J34" s="84"/>
      <c r="K34" s="90"/>
    </row>
    <row r="35" spans="1:11" x14ac:dyDescent="0.3">
      <c r="A35" s="84"/>
      <c r="B35" s="10"/>
      <c r="C35" s="10">
        <v>50000</v>
      </c>
      <c r="D35" s="10">
        <v>26531</v>
      </c>
      <c r="E35" s="29">
        <f t="shared" si="5"/>
        <v>1326550000</v>
      </c>
      <c r="F35" s="10"/>
      <c r="G35" s="114">
        <v>7.6999999999999999E-2</v>
      </c>
      <c r="H35" s="112">
        <f t="shared" si="3"/>
        <v>102144350</v>
      </c>
      <c r="I35" s="112">
        <f t="shared" si="4"/>
        <v>1224405650</v>
      </c>
      <c r="J35" s="84"/>
      <c r="K35" s="90"/>
    </row>
    <row r="36" spans="1:11" x14ac:dyDescent="0.3">
      <c r="A36" s="84"/>
      <c r="B36" s="10"/>
      <c r="C36" s="10">
        <v>70000</v>
      </c>
      <c r="D36" s="10">
        <v>4301</v>
      </c>
      <c r="E36" s="29">
        <f t="shared" si="5"/>
        <v>301070000</v>
      </c>
      <c r="F36" s="10"/>
      <c r="G36" s="114">
        <v>7.4999999999999997E-2</v>
      </c>
      <c r="H36" s="112">
        <f t="shared" si="3"/>
        <v>22580250</v>
      </c>
      <c r="I36" s="112">
        <f t="shared" si="4"/>
        <v>278489750</v>
      </c>
      <c r="J36" s="84"/>
      <c r="K36" s="90"/>
    </row>
    <row r="37" spans="1:11" x14ac:dyDescent="0.3">
      <c r="A37" s="84"/>
      <c r="B37" s="10"/>
      <c r="C37" s="10"/>
      <c r="D37" s="10"/>
      <c r="E37" s="112">
        <f>SUM(E31:E36)</f>
        <v>2018170000</v>
      </c>
      <c r="F37" s="29">
        <v>2000000000</v>
      </c>
      <c r="G37" s="10"/>
      <c r="H37" s="10"/>
      <c r="I37" s="112">
        <f>SUM(I31:I36)</f>
        <v>1832634600</v>
      </c>
      <c r="J37" s="84"/>
      <c r="K37" s="90"/>
    </row>
    <row r="38" spans="1:11" x14ac:dyDescent="0.3">
      <c r="A38" s="84"/>
      <c r="B38" s="10"/>
      <c r="C38" s="10"/>
      <c r="D38" s="10"/>
      <c r="E38" s="29">
        <v>1966459500</v>
      </c>
      <c r="F38" s="29">
        <f>F37-E38</f>
        <v>33540500</v>
      </c>
      <c r="G38" s="10"/>
      <c r="H38" s="10"/>
      <c r="I38" s="10"/>
      <c r="J38" s="84"/>
      <c r="K38" s="90"/>
    </row>
    <row r="39" spans="1:11" x14ac:dyDescent="0.3">
      <c r="A39" s="84"/>
      <c r="B39" s="10"/>
      <c r="C39" s="10"/>
      <c r="D39" s="10"/>
      <c r="E39" s="112">
        <f>E37-E38</f>
        <v>51710500</v>
      </c>
      <c r="F39" s="34">
        <f>F38/F37</f>
        <v>1.677025E-2</v>
      </c>
      <c r="G39" s="10"/>
      <c r="H39" s="10"/>
      <c r="I39" s="10"/>
      <c r="J39" s="84"/>
      <c r="K39" s="90"/>
    </row>
    <row r="40" spans="1:11" x14ac:dyDescent="0.3">
      <c r="A40" s="84"/>
      <c r="B40" s="10"/>
      <c r="C40" s="10"/>
      <c r="D40" s="10"/>
      <c r="E40" s="34">
        <f>E39/E37</f>
        <v>2.5622469861309997E-2</v>
      </c>
      <c r="F40" s="10"/>
      <c r="G40" s="10"/>
      <c r="H40" s="112">
        <f>F37-I37</f>
        <v>167365400</v>
      </c>
      <c r="I40" s="10"/>
      <c r="J40" s="84"/>
      <c r="K40" s="90"/>
    </row>
    <row r="41" spans="1:11" x14ac:dyDescent="0.3">
      <c r="A41" s="84"/>
      <c r="B41" s="115"/>
      <c r="C41" s="115"/>
      <c r="D41" s="115"/>
      <c r="E41" s="116"/>
      <c r="F41" s="115"/>
      <c r="G41" s="115"/>
      <c r="H41" s="117">
        <f>H40/F37</f>
        <v>8.3682699999999999E-2</v>
      </c>
      <c r="I41" s="115"/>
      <c r="J41" s="84"/>
      <c r="K41" s="90"/>
    </row>
    <row r="42" spans="1:11" x14ac:dyDescent="0.3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90"/>
    </row>
    <row r="43" spans="1:11" x14ac:dyDescent="0.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90"/>
    </row>
    <row r="44" spans="1:11" x14ac:dyDescent="0.3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90"/>
    </row>
    <row r="45" spans="1:11" x14ac:dyDescent="0.3">
      <c r="A45" s="84"/>
      <c r="B45" s="85"/>
      <c r="C45" s="85"/>
      <c r="D45" s="84"/>
      <c r="E45" s="84"/>
      <c r="F45" s="84"/>
      <c r="G45" s="84"/>
      <c r="H45" s="84"/>
      <c r="I45" s="84"/>
      <c r="J45" s="84"/>
      <c r="K45" s="90"/>
    </row>
    <row r="46" spans="1:11" x14ac:dyDescent="0.3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90"/>
    </row>
    <row r="47" spans="1:11" x14ac:dyDescent="0.3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90"/>
    </row>
    <row r="48" spans="1:11" x14ac:dyDescent="0.3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90"/>
    </row>
    <row r="49" spans="1:17" x14ac:dyDescent="0.3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90"/>
    </row>
    <row r="50" spans="1:17" x14ac:dyDescent="0.3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90"/>
    </row>
    <row r="51" spans="1:17" x14ac:dyDescent="0.3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90"/>
    </row>
    <row r="52" spans="1:17" ht="17.25" thickBot="1" x14ac:dyDescent="0.3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90"/>
    </row>
    <row r="53" spans="1:17" ht="17.25" thickBot="1" x14ac:dyDescent="0.35">
      <c r="A53" s="62" t="s">
        <v>100</v>
      </c>
      <c r="B53" s="62" t="s">
        <v>101</v>
      </c>
      <c r="C53" s="62" t="s">
        <v>102</v>
      </c>
      <c r="D53" s="62" t="s">
        <v>103</v>
      </c>
      <c r="E53" s="62" t="s">
        <v>104</v>
      </c>
      <c r="F53" s="62" t="s">
        <v>105</v>
      </c>
      <c r="G53" s="62" t="s">
        <v>106</v>
      </c>
      <c r="H53" s="62" t="s">
        <v>107</v>
      </c>
      <c r="I53" s="62" t="s">
        <v>108</v>
      </c>
      <c r="J53" s="63" t="s">
        <v>109</v>
      </c>
      <c r="K53" s="89"/>
      <c r="L53" s="84" t="s">
        <v>127</v>
      </c>
      <c r="M53" s="84" t="s">
        <v>128</v>
      </c>
    </row>
    <row r="54" spans="1:17" ht="17.25" thickBot="1" x14ac:dyDescent="0.35">
      <c r="A54" s="64">
        <v>1</v>
      </c>
      <c r="B54" s="64" t="s">
        <v>123</v>
      </c>
      <c r="C54" s="65" t="s">
        <v>124</v>
      </c>
      <c r="D54" s="64" t="s">
        <v>125</v>
      </c>
      <c r="E54" s="66">
        <v>1676400000</v>
      </c>
      <c r="F54" s="67">
        <v>75.998999999999995</v>
      </c>
      <c r="G54" s="64"/>
      <c r="H54" s="64" t="s">
        <v>134</v>
      </c>
      <c r="I54" s="68">
        <v>45315.716817129629</v>
      </c>
      <c r="J54" s="69" t="s">
        <v>114</v>
      </c>
      <c r="K54" s="92" t="s">
        <v>149</v>
      </c>
      <c r="L54" s="85">
        <v>2200000000</v>
      </c>
      <c r="M54" s="85">
        <v>2000000000</v>
      </c>
      <c r="N54" s="86"/>
      <c r="O54" s="84" t="s">
        <v>131</v>
      </c>
      <c r="P54" s="84" t="s">
        <v>132</v>
      </c>
      <c r="Q54" s="84" t="s">
        <v>133</v>
      </c>
    </row>
    <row r="55" spans="1:17" ht="17.25" thickBot="1" x14ac:dyDescent="0.35">
      <c r="A55" s="72">
        <v>2</v>
      </c>
      <c r="B55" s="72" t="s">
        <v>115</v>
      </c>
      <c r="C55" s="73" t="s">
        <v>116</v>
      </c>
      <c r="D55" s="72" t="s">
        <v>117</v>
      </c>
      <c r="E55" s="74">
        <v>1757800000</v>
      </c>
      <c r="F55" s="75">
        <v>79.688999999999993</v>
      </c>
      <c r="G55" s="72"/>
      <c r="H55" s="72" t="s">
        <v>135</v>
      </c>
      <c r="I55" s="76">
        <v>45317.478807870371</v>
      </c>
      <c r="J55" s="77" t="s">
        <v>114</v>
      </c>
      <c r="K55" s="91"/>
      <c r="M55" s="86">
        <f>M54/L54</f>
        <v>0.90909090909090906</v>
      </c>
      <c r="N55" s="86">
        <f>E54/M54</f>
        <v>0.83819999999999995</v>
      </c>
      <c r="O55" s="88">
        <f>100%-M55</f>
        <v>9.0909090909090939E-2</v>
      </c>
      <c r="P55" s="88">
        <f>100%-N55</f>
        <v>0.16180000000000005</v>
      </c>
      <c r="Q55" s="88">
        <f>O55+P55</f>
        <v>0.25270909090909099</v>
      </c>
    </row>
    <row r="56" spans="1:17" ht="17.25" thickBot="1" x14ac:dyDescent="0.35">
      <c r="A56" s="72">
        <v>3</v>
      </c>
      <c r="B56" s="72" t="s">
        <v>119</v>
      </c>
      <c r="C56" s="73" t="s">
        <v>120</v>
      </c>
      <c r="D56" s="72" t="s">
        <v>121</v>
      </c>
      <c r="E56" s="74">
        <v>1804000000</v>
      </c>
      <c r="F56" s="75">
        <v>81.784000000000006</v>
      </c>
      <c r="G56" s="72"/>
      <c r="H56" s="72" t="s">
        <v>136</v>
      </c>
      <c r="I56" s="76">
        <v>45316.446469907409</v>
      </c>
      <c r="J56" s="77" t="s">
        <v>114</v>
      </c>
      <c r="K56" s="89"/>
    </row>
    <row r="57" spans="1:17" ht="17.25" thickBot="1" x14ac:dyDescent="0.35">
      <c r="A57" s="72">
        <v>4</v>
      </c>
      <c r="B57" s="72" t="s">
        <v>137</v>
      </c>
      <c r="C57" s="73" t="s">
        <v>138</v>
      </c>
      <c r="D57" s="72" t="s">
        <v>139</v>
      </c>
      <c r="E57" s="74">
        <v>1958000000</v>
      </c>
      <c r="F57" s="75">
        <v>88.765000000000001</v>
      </c>
      <c r="G57" s="72"/>
      <c r="H57" s="72" t="s">
        <v>140</v>
      </c>
      <c r="I57" s="76">
        <v>45316.642939814818</v>
      </c>
      <c r="J57" s="77" t="s">
        <v>114</v>
      </c>
      <c r="K57" s="89"/>
    </row>
    <row r="58" spans="1:17" ht="17.25" thickBot="1" x14ac:dyDescent="0.35">
      <c r="A58" s="72">
        <v>5</v>
      </c>
      <c r="B58" s="72" t="s">
        <v>141</v>
      </c>
      <c r="C58" s="73" t="s">
        <v>142</v>
      </c>
      <c r="D58" s="72" t="s">
        <v>143</v>
      </c>
      <c r="E58" s="74">
        <v>2195000000</v>
      </c>
      <c r="F58" s="75">
        <v>99.51</v>
      </c>
      <c r="G58" s="72"/>
      <c r="H58" s="72" t="s">
        <v>144</v>
      </c>
      <c r="I58" s="76">
        <v>45316.736516203702</v>
      </c>
      <c r="J58" s="77" t="s">
        <v>114</v>
      </c>
      <c r="K58" s="90" t="s">
        <v>129</v>
      </c>
      <c r="L58" s="84" t="s">
        <v>127</v>
      </c>
      <c r="M58" s="84" t="s">
        <v>128</v>
      </c>
    </row>
    <row r="59" spans="1:17" ht="17.25" thickBot="1" x14ac:dyDescent="0.35">
      <c r="A59" s="72">
        <v>6</v>
      </c>
      <c r="B59" s="72" t="s">
        <v>110</v>
      </c>
      <c r="C59" s="73" t="s">
        <v>111</v>
      </c>
      <c r="D59" s="72" t="s">
        <v>112</v>
      </c>
      <c r="E59" s="74">
        <v>19128000000</v>
      </c>
      <c r="F59" s="75">
        <v>867.16700000000003</v>
      </c>
      <c r="G59" s="72"/>
      <c r="H59" s="72" t="s">
        <v>145</v>
      </c>
      <c r="I59" s="76">
        <v>45317.514016203706</v>
      </c>
      <c r="J59" s="77" t="s">
        <v>146</v>
      </c>
      <c r="K59" s="90"/>
      <c r="L59" s="85"/>
      <c r="M59" s="85"/>
    </row>
    <row r="60" spans="1:17" x14ac:dyDescent="0.3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90"/>
      <c r="M60" s="86"/>
    </row>
    <row r="61" spans="1:17" x14ac:dyDescent="0.3">
      <c r="B61" s="202" t="s">
        <v>147</v>
      </c>
      <c r="C61" s="202"/>
      <c r="D61" s="202"/>
      <c r="E61" s="202"/>
      <c r="F61" s="202"/>
      <c r="G61" s="202"/>
      <c r="H61" s="202"/>
      <c r="I61" s="202"/>
      <c r="J61" s="202"/>
      <c r="K61" s="90"/>
    </row>
    <row r="62" spans="1:17" x14ac:dyDescent="0.3">
      <c r="B62" s="202"/>
      <c r="C62" s="202"/>
      <c r="D62" s="202"/>
      <c r="E62" s="202"/>
      <c r="F62" s="202"/>
      <c r="G62" s="202"/>
      <c r="H62" s="202"/>
      <c r="I62" s="202"/>
      <c r="J62" s="202"/>
    </row>
  </sheetData>
  <mergeCells count="2">
    <mergeCell ref="B61:J62"/>
    <mergeCell ref="B7:J8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3DD8-39AC-4525-A31F-9BEB64CED9B2}">
  <dimension ref="A1:O16"/>
  <sheetViews>
    <sheetView zoomScale="85" zoomScaleNormal="85" workbookViewId="0">
      <selection activeCell="L4" sqref="L4"/>
    </sheetView>
  </sheetViews>
  <sheetFormatPr defaultRowHeight="16.5" x14ac:dyDescent="0.3"/>
  <cols>
    <col min="1" max="1" width="34.75" bestFit="1" customWidth="1"/>
    <col min="2" max="2" width="11.625" customWidth="1"/>
    <col min="3" max="3" width="15.75" customWidth="1"/>
    <col min="4" max="4" width="10.75" bestFit="1" customWidth="1"/>
    <col min="5" max="6" width="19.875" bestFit="1" customWidth="1"/>
    <col min="7" max="7" width="16.5" bestFit="1" customWidth="1"/>
    <col min="8" max="8" width="8.125" bestFit="1" customWidth="1"/>
    <col min="9" max="9" width="16.5" bestFit="1" customWidth="1"/>
    <col min="10" max="10" width="12.625" bestFit="1" customWidth="1"/>
    <col min="11" max="11" width="16.375" bestFit="1" customWidth="1"/>
    <col min="12" max="12" width="9.375" bestFit="1" customWidth="1"/>
    <col min="13" max="14" width="18.25" bestFit="1" customWidth="1"/>
    <col min="15" max="15" width="9.5" bestFit="1" customWidth="1"/>
  </cols>
  <sheetData>
    <row r="1" spans="1:15" x14ac:dyDescent="0.3">
      <c r="A1" t="s">
        <v>32</v>
      </c>
    </row>
    <row r="2" spans="1:15" ht="42.6" customHeight="1" x14ac:dyDescent="0.3">
      <c r="A2" s="43" t="s">
        <v>17</v>
      </c>
      <c r="B2" s="43" t="s">
        <v>4</v>
      </c>
      <c r="C2" s="44" t="s">
        <v>5</v>
      </c>
      <c r="D2" s="43" t="s">
        <v>6</v>
      </c>
      <c r="E2" s="43" t="s">
        <v>7</v>
      </c>
      <c r="F2" s="43" t="s">
        <v>18</v>
      </c>
      <c r="G2" s="43" t="s">
        <v>19</v>
      </c>
      <c r="H2" s="43" t="s">
        <v>8</v>
      </c>
      <c r="I2" s="45" t="s">
        <v>9</v>
      </c>
      <c r="J2" s="43" t="s">
        <v>20</v>
      </c>
      <c r="K2" s="43" t="s">
        <v>21</v>
      </c>
      <c r="L2" s="43" t="s">
        <v>22</v>
      </c>
      <c r="M2" s="46" t="s">
        <v>23</v>
      </c>
      <c r="N2" s="46" t="s">
        <v>24</v>
      </c>
      <c r="O2" s="43" t="s">
        <v>25</v>
      </c>
    </row>
    <row r="3" spans="1:15" ht="17.25" x14ac:dyDescent="0.3">
      <c r="A3" s="27" t="s">
        <v>26</v>
      </c>
      <c r="B3" s="15">
        <v>50000</v>
      </c>
      <c r="C3" s="28">
        <v>1.4999999999999999E-2</v>
      </c>
      <c r="D3" s="29">
        <v>13756</v>
      </c>
      <c r="E3" s="15">
        <f>B3*D3</f>
        <v>687800000</v>
      </c>
      <c r="F3" s="15">
        <f>(B3-(B3*H3))*D3</f>
        <v>680922000</v>
      </c>
      <c r="G3" s="15">
        <f>((1-L3)*D3*B3)*C3</f>
        <v>9986856</v>
      </c>
      <c r="H3" s="14">
        <v>0.01</v>
      </c>
      <c r="I3" s="9">
        <f>H3*E3</f>
        <v>6878000</v>
      </c>
      <c r="J3" s="14">
        <v>0</v>
      </c>
      <c r="K3" s="9">
        <v>0</v>
      </c>
      <c r="L3" s="30">
        <v>3.2000000000000001E-2</v>
      </c>
      <c r="M3" s="9">
        <f>L3*E3</f>
        <v>22009600</v>
      </c>
      <c r="N3" s="31">
        <f>(M3+K3+G3)-I3</f>
        <v>25118456</v>
      </c>
      <c r="O3" s="32">
        <f t="shared" ref="O3:O8" si="0">N3/E3</f>
        <v>3.6519999999999997E-2</v>
      </c>
    </row>
    <row r="4" spans="1:15" ht="26.25" x14ac:dyDescent="0.3">
      <c r="A4" s="38" t="s">
        <v>27</v>
      </c>
      <c r="B4" s="39">
        <v>50000</v>
      </c>
      <c r="C4" s="40">
        <v>2.7E-2</v>
      </c>
      <c r="D4" s="61">
        <v>4103</v>
      </c>
      <c r="E4" s="39">
        <f>B4*D4</f>
        <v>205150000</v>
      </c>
      <c r="F4" s="39">
        <f>(B4-(B4*H4))*D4</f>
        <v>202072750</v>
      </c>
      <c r="G4" s="39">
        <f>((1-L4)*D4*B4)*C4</f>
        <v>5217785.0999999996</v>
      </c>
      <c r="H4" s="41">
        <v>1.4999999999999999E-2</v>
      </c>
      <c r="I4" s="39">
        <f>H4*E4</f>
        <v>3077250</v>
      </c>
      <c r="J4" s="41">
        <v>0</v>
      </c>
      <c r="K4" s="39">
        <v>0</v>
      </c>
      <c r="L4" s="60">
        <v>5.8000000000000003E-2</v>
      </c>
      <c r="M4" s="39">
        <f>L4*E4</f>
        <v>11898700</v>
      </c>
      <c r="N4" s="39">
        <f>(M4+K4+G4)-I4</f>
        <v>14039235.100000001</v>
      </c>
      <c r="O4" s="42">
        <f t="shared" si="0"/>
        <v>6.8434000000000009E-2</v>
      </c>
    </row>
    <row r="5" spans="1:15" ht="17.25" x14ac:dyDescent="0.3">
      <c r="A5" s="27" t="s">
        <v>28</v>
      </c>
      <c r="B5" s="15">
        <v>50000</v>
      </c>
      <c r="C5" s="28">
        <v>0.02</v>
      </c>
      <c r="D5" s="29">
        <v>164</v>
      </c>
      <c r="E5" s="15">
        <f t="shared" ref="E5" si="1">B5*D5</f>
        <v>8200000</v>
      </c>
      <c r="F5" s="15">
        <f t="shared" ref="F5" si="2">(B5-(B5*H5))*D5</f>
        <v>8118000</v>
      </c>
      <c r="G5" s="15">
        <f>((1-L5)*D5*B5)*C5</f>
        <v>152028.00000000003</v>
      </c>
      <c r="H5" s="14">
        <v>0.01</v>
      </c>
      <c r="I5" s="9">
        <f t="shared" ref="I5" si="3">H5*E5</f>
        <v>82000</v>
      </c>
      <c r="J5" s="14">
        <v>0</v>
      </c>
      <c r="K5" s="9">
        <v>0</v>
      </c>
      <c r="L5" s="30">
        <v>7.2999999999999995E-2</v>
      </c>
      <c r="M5" s="9">
        <f>L5*E5</f>
        <v>598600</v>
      </c>
      <c r="N5" s="31">
        <f>(M5+K5+G5)-I5</f>
        <v>668628</v>
      </c>
      <c r="O5" s="32">
        <f t="shared" si="0"/>
        <v>8.1540000000000001E-2</v>
      </c>
    </row>
    <row r="6" spans="1:15" ht="17.25" x14ac:dyDescent="0.3">
      <c r="A6" s="27" t="s">
        <v>29</v>
      </c>
      <c r="B6" s="15">
        <v>50000</v>
      </c>
      <c r="C6" s="28">
        <v>7.0000000000000007E-2</v>
      </c>
      <c r="D6" s="29">
        <v>151</v>
      </c>
      <c r="E6" s="15">
        <f>B6*D6</f>
        <v>7550000</v>
      </c>
      <c r="F6" s="15">
        <f>(B6-(B6*H6))*D6</f>
        <v>7474500</v>
      </c>
      <c r="G6" s="15">
        <f>((1-L6)*D6*B6)*C6</f>
        <v>528500</v>
      </c>
      <c r="H6" s="14">
        <v>0.01</v>
      </c>
      <c r="I6" s="9">
        <f>H6*E6</f>
        <v>75500</v>
      </c>
      <c r="J6" s="14">
        <v>0</v>
      </c>
      <c r="K6" s="9">
        <v>0</v>
      </c>
      <c r="L6" s="30">
        <v>0</v>
      </c>
      <c r="M6" s="9">
        <f>L6*E6</f>
        <v>0</v>
      </c>
      <c r="N6" s="31">
        <f>(M6+K6+G6)-I6</f>
        <v>453000</v>
      </c>
      <c r="O6" s="32">
        <f t="shared" si="0"/>
        <v>0.06</v>
      </c>
    </row>
    <row r="7" spans="1:15" ht="17.25" x14ac:dyDescent="0.3">
      <c r="A7" s="27" t="s">
        <v>30</v>
      </c>
      <c r="B7" s="15">
        <v>50000</v>
      </c>
      <c r="C7" s="28">
        <v>0.02</v>
      </c>
      <c r="D7" s="29">
        <v>17</v>
      </c>
      <c r="E7" s="15">
        <f>B7*D7</f>
        <v>850000</v>
      </c>
      <c r="F7" s="15">
        <f>(B7-(B7*H7))*D7</f>
        <v>841500</v>
      </c>
      <c r="G7" s="15">
        <f>((1-L7)*D7*B7)*C7</f>
        <v>15000</v>
      </c>
      <c r="H7" s="14">
        <v>0.01</v>
      </c>
      <c r="I7" s="9">
        <f>H7*E7</f>
        <v>8500</v>
      </c>
      <c r="J7" s="14">
        <v>0</v>
      </c>
      <c r="K7" s="9">
        <v>0</v>
      </c>
      <c r="L7" s="30">
        <v>0.11764705882352941</v>
      </c>
      <c r="M7" s="9">
        <f>L7*E7</f>
        <v>100000</v>
      </c>
      <c r="N7" s="31">
        <f>(M7+K7+G7)-I7</f>
        <v>106500</v>
      </c>
      <c r="O7" s="32">
        <f t="shared" si="0"/>
        <v>0.12529411764705883</v>
      </c>
    </row>
    <row r="8" spans="1:15" ht="17.25" x14ac:dyDescent="0.3">
      <c r="A8" s="203" t="s">
        <v>16</v>
      </c>
      <c r="B8" s="203"/>
      <c r="C8" s="203"/>
      <c r="D8" s="47"/>
      <c r="E8" s="47">
        <f>SUM(E3:E7)</f>
        <v>909550000</v>
      </c>
      <c r="F8" s="47">
        <f>SUM(F3:F7)</f>
        <v>899428750</v>
      </c>
      <c r="G8" s="47">
        <f>SUM(G3:G7)</f>
        <v>15900169.1</v>
      </c>
      <c r="H8" s="48"/>
      <c r="I8" s="47">
        <f>SUM(I3:I7)</f>
        <v>10121250</v>
      </c>
      <c r="J8" s="48"/>
      <c r="K8" s="48"/>
      <c r="L8" s="48"/>
      <c r="M8" s="47">
        <f>SUM(M3:M7)</f>
        <v>34606900</v>
      </c>
      <c r="N8" s="47">
        <f>SUM(N3:N7)</f>
        <v>40385819.100000001</v>
      </c>
      <c r="O8" s="49">
        <f t="shared" si="0"/>
        <v>4.4401978011104397E-2</v>
      </c>
    </row>
    <row r="12" spans="1:15" x14ac:dyDescent="0.3">
      <c r="A12" t="s">
        <v>33</v>
      </c>
    </row>
    <row r="13" spans="1:15" ht="34.5" x14ac:dyDescent="0.3">
      <c r="A13" s="43" t="s">
        <v>17</v>
      </c>
      <c r="B13" s="43" t="s">
        <v>4</v>
      </c>
      <c r="C13" s="44" t="s">
        <v>5</v>
      </c>
      <c r="D13" s="43" t="s">
        <v>6</v>
      </c>
      <c r="E13" s="43" t="s">
        <v>7</v>
      </c>
      <c r="F13" s="43" t="s">
        <v>18</v>
      </c>
      <c r="G13" s="43" t="s">
        <v>19</v>
      </c>
      <c r="H13" s="43" t="s">
        <v>8</v>
      </c>
      <c r="I13" s="45" t="s">
        <v>9</v>
      </c>
      <c r="J13" s="43" t="s">
        <v>20</v>
      </c>
      <c r="K13" s="43" t="s">
        <v>21</v>
      </c>
      <c r="L13" s="43" t="s">
        <v>22</v>
      </c>
      <c r="M13" s="46" t="s">
        <v>23</v>
      </c>
      <c r="N13" s="46" t="s">
        <v>24</v>
      </c>
      <c r="O13" s="43" t="s">
        <v>25</v>
      </c>
    </row>
    <row r="14" spans="1:15" ht="26.25" x14ac:dyDescent="0.3">
      <c r="A14" s="38" t="s">
        <v>26</v>
      </c>
      <c r="B14" s="39">
        <v>50000</v>
      </c>
      <c r="C14" s="40">
        <v>1.4999999999999999E-2</v>
      </c>
      <c r="D14" s="61">
        <v>3653</v>
      </c>
      <c r="E14" s="39">
        <f>B14*D14</f>
        <v>182650000</v>
      </c>
      <c r="F14" s="39">
        <f>(B14-(B14*H14))*D14</f>
        <v>180823500</v>
      </c>
      <c r="G14" s="39">
        <f>((1-L14)*D14*B14)*C14</f>
        <v>2545775.6999999997</v>
      </c>
      <c r="H14" s="41">
        <v>0.01</v>
      </c>
      <c r="I14" s="39">
        <f>H14*E14</f>
        <v>1826500</v>
      </c>
      <c r="J14" s="41">
        <v>0</v>
      </c>
      <c r="K14" s="39">
        <v>0</v>
      </c>
      <c r="L14" s="59">
        <v>7.0800000000000002E-2</v>
      </c>
      <c r="M14" s="39">
        <f>L14*E14</f>
        <v>12931620</v>
      </c>
      <c r="N14" s="39">
        <f>(M14+K14+G14)-I14</f>
        <v>13650895.699999999</v>
      </c>
      <c r="O14" s="42">
        <f t="shared" ref="O14:O16" si="4">N14/E14</f>
        <v>7.4737999999999999E-2</v>
      </c>
    </row>
    <row r="15" spans="1:15" ht="17.25" x14ac:dyDescent="0.3">
      <c r="A15" s="27" t="s">
        <v>31</v>
      </c>
      <c r="B15" s="15">
        <v>25000</v>
      </c>
      <c r="C15" s="28">
        <v>1.4999999999999999E-2</v>
      </c>
      <c r="D15" s="29">
        <v>3653</v>
      </c>
      <c r="E15" s="15">
        <f>B15*D15</f>
        <v>91325000</v>
      </c>
      <c r="F15" s="15">
        <f>(B15-(B15*H15))*D15</f>
        <v>90411750</v>
      </c>
      <c r="G15" s="15">
        <f>((1-L15)*D15*B15)*C15</f>
        <v>1270696.05</v>
      </c>
      <c r="H15" s="14">
        <v>0.01</v>
      </c>
      <c r="I15" s="9">
        <f>H15*E15</f>
        <v>913250</v>
      </c>
      <c r="J15" s="14">
        <v>0</v>
      </c>
      <c r="K15" s="9">
        <v>0</v>
      </c>
      <c r="L15" s="34">
        <v>7.2400000000000006E-2</v>
      </c>
      <c r="M15" s="9">
        <f>L15*E15</f>
        <v>6611930.0000000009</v>
      </c>
      <c r="N15" s="31">
        <f>(M15+K15+G15)-I15</f>
        <v>6969376.0500000007</v>
      </c>
      <c r="O15" s="32">
        <f t="shared" si="4"/>
        <v>7.6314000000000007E-2</v>
      </c>
    </row>
    <row r="16" spans="1:15" ht="17.25" x14ac:dyDescent="0.3">
      <c r="A16" s="203" t="s">
        <v>16</v>
      </c>
      <c r="B16" s="203"/>
      <c r="C16" s="203"/>
      <c r="D16" s="47"/>
      <c r="E16" s="47">
        <f>SUM(E14:E15)</f>
        <v>273975000</v>
      </c>
      <c r="F16" s="47">
        <f>SUM(F14:F15)</f>
        <v>271235250</v>
      </c>
      <c r="G16" s="47">
        <f>SUM(G14:G15)</f>
        <v>3816471.75</v>
      </c>
      <c r="H16" s="48"/>
      <c r="I16" s="47">
        <f>SUM(I14:I15)</f>
        <v>2739750</v>
      </c>
      <c r="J16" s="48"/>
      <c r="K16" s="48"/>
      <c r="L16" s="48"/>
      <c r="M16" s="47">
        <f>SUM(M14:M15)</f>
        <v>19543550</v>
      </c>
      <c r="N16" s="47">
        <f>SUM(N14:N15)</f>
        <v>20620271.75</v>
      </c>
      <c r="O16" s="49">
        <f t="shared" si="4"/>
        <v>7.5263333333333335E-2</v>
      </c>
    </row>
  </sheetData>
  <mergeCells count="2">
    <mergeCell ref="A8:C8"/>
    <mergeCell ref="A16:C1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B994-6644-4960-B507-4E6F08895A2F}">
  <dimension ref="A1:P2"/>
  <sheetViews>
    <sheetView workbookViewId="0">
      <selection activeCell="H16" sqref="H16"/>
    </sheetView>
  </sheetViews>
  <sheetFormatPr defaultRowHeight="16.5" x14ac:dyDescent="0.3"/>
  <cols>
    <col min="1" max="1" width="27" bestFit="1" customWidth="1"/>
    <col min="3" max="3" width="9.375" bestFit="1" customWidth="1"/>
    <col min="4" max="4" width="21.25" style="22" bestFit="1" customWidth="1"/>
    <col min="5" max="6" width="9.375" bestFit="1" customWidth="1"/>
    <col min="7" max="7" width="10.25" bestFit="1" customWidth="1"/>
    <col min="8" max="8" width="12.25" bestFit="1" customWidth="1"/>
    <col min="9" max="10" width="17.5" bestFit="1" customWidth="1"/>
    <col min="11" max="12" width="15.75" bestFit="1" customWidth="1"/>
    <col min="13" max="13" width="13" style="22" bestFit="1" customWidth="1"/>
    <col min="14" max="14" width="20.25" style="51" bestFit="1" customWidth="1"/>
    <col min="15" max="15" width="21.875" style="51" bestFit="1" customWidth="1"/>
    <col min="16" max="16" width="13" style="22" bestFit="1" customWidth="1"/>
  </cols>
  <sheetData>
    <row r="1" spans="1:16" x14ac:dyDescent="0.3">
      <c r="A1" s="33" t="s">
        <v>92</v>
      </c>
      <c r="B1" s="33" t="s">
        <v>39</v>
      </c>
      <c r="C1" s="33" t="s">
        <v>41</v>
      </c>
      <c r="D1" s="35" t="s">
        <v>93</v>
      </c>
      <c r="E1" s="33" t="s">
        <v>94</v>
      </c>
      <c r="F1" s="33" t="s">
        <v>44</v>
      </c>
      <c r="G1" s="33" t="s">
        <v>45</v>
      </c>
      <c r="H1" s="33" t="s">
        <v>46</v>
      </c>
      <c r="I1" s="33" t="s">
        <v>47</v>
      </c>
      <c r="J1" s="33" t="s">
        <v>48</v>
      </c>
      <c r="K1" s="33" t="s">
        <v>49</v>
      </c>
      <c r="L1" s="33" t="s">
        <v>50</v>
      </c>
      <c r="M1" s="35" t="s">
        <v>51</v>
      </c>
      <c r="N1" s="50" t="s">
        <v>95</v>
      </c>
      <c r="O1" s="50" t="s">
        <v>96</v>
      </c>
      <c r="P1" s="35" t="s">
        <v>56</v>
      </c>
    </row>
    <row r="2" spans="1:16" ht="20.25" x14ac:dyDescent="0.3">
      <c r="A2" s="37" t="s">
        <v>27</v>
      </c>
      <c r="B2" s="37" t="s">
        <v>63</v>
      </c>
      <c r="C2" s="37">
        <v>50000</v>
      </c>
      <c r="D2" s="54">
        <v>2.4545454545454544E-2</v>
      </c>
      <c r="E2" s="37">
        <v>5.5E-2</v>
      </c>
      <c r="F2" s="57">
        <v>62504</v>
      </c>
      <c r="G2" s="37">
        <v>58255</v>
      </c>
      <c r="H2" s="37">
        <v>4249</v>
      </c>
      <c r="I2" s="37">
        <v>3125200000</v>
      </c>
      <c r="J2" s="37">
        <v>2912750000</v>
      </c>
      <c r="K2" s="37">
        <v>212450000</v>
      </c>
      <c r="L2" s="37">
        <v>171886000</v>
      </c>
      <c r="M2" s="56">
        <v>6.7979649302444642E-2</v>
      </c>
      <c r="N2" s="53">
        <v>71494772.727272719</v>
      </c>
      <c r="O2" s="53">
        <v>112058772.72727275</v>
      </c>
      <c r="P2" s="52">
        <v>3.5856512455930099E-2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FB65-7A8D-460C-9755-45403C6E5972}">
  <dimension ref="A1:X9"/>
  <sheetViews>
    <sheetView workbookViewId="0">
      <selection activeCell="E18" sqref="E18"/>
    </sheetView>
  </sheetViews>
  <sheetFormatPr defaultRowHeight="16.5" x14ac:dyDescent="0.3"/>
  <cols>
    <col min="2" max="2" width="15.5" bestFit="1" customWidth="1"/>
    <col min="3" max="3" width="38.5" customWidth="1"/>
    <col min="4" max="4" width="14" customWidth="1"/>
    <col min="7" max="7" width="29.625" bestFit="1" customWidth="1"/>
    <col min="8" max="8" width="9.25" bestFit="1" customWidth="1"/>
    <col min="10" max="10" width="16.125" bestFit="1" customWidth="1"/>
    <col min="11" max="13" width="9.125" bestFit="1" customWidth="1"/>
    <col min="14" max="17" width="0" hidden="1" customWidth="1"/>
    <col min="18" max="18" width="8.875" style="22" bestFit="1" customWidth="1"/>
    <col min="19" max="24" width="0" hidden="1" customWidth="1"/>
  </cols>
  <sheetData>
    <row r="1" spans="1:24" x14ac:dyDescent="0.3">
      <c r="A1" s="33" t="s">
        <v>34</v>
      </c>
      <c r="B1" s="33" t="s">
        <v>35</v>
      </c>
      <c r="C1" s="33" t="s">
        <v>36</v>
      </c>
      <c r="D1" s="33" t="s">
        <v>37</v>
      </c>
      <c r="E1" s="33" t="s">
        <v>38</v>
      </c>
      <c r="F1" s="33" t="s">
        <v>39</v>
      </c>
      <c r="G1" s="33" t="s">
        <v>40</v>
      </c>
      <c r="H1" s="33" t="s">
        <v>41</v>
      </c>
      <c r="I1" s="33" t="s">
        <v>42</v>
      </c>
      <c r="J1" s="33" t="s">
        <v>43</v>
      </c>
      <c r="K1" s="33" t="s">
        <v>44</v>
      </c>
      <c r="L1" s="33" t="s">
        <v>45</v>
      </c>
      <c r="M1" s="33" t="s">
        <v>46</v>
      </c>
      <c r="N1" s="33" t="s">
        <v>47</v>
      </c>
      <c r="O1" s="33" t="s">
        <v>48</v>
      </c>
      <c r="P1" s="33" t="s">
        <v>49</v>
      </c>
      <c r="Q1" s="33" t="s">
        <v>50</v>
      </c>
      <c r="R1" s="35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</row>
    <row r="2" spans="1:24" x14ac:dyDescent="0.3">
      <c r="A2" s="27" t="s">
        <v>58</v>
      </c>
      <c r="B2" s="27" t="s">
        <v>59</v>
      </c>
      <c r="C2" s="27" t="s">
        <v>60</v>
      </c>
      <c r="D2" s="27" t="s">
        <v>61</v>
      </c>
      <c r="E2" s="27" t="s">
        <v>62</v>
      </c>
      <c r="F2" s="27" t="s">
        <v>63</v>
      </c>
      <c r="G2" s="27" t="s">
        <v>27</v>
      </c>
      <c r="H2" s="27">
        <v>50000</v>
      </c>
      <c r="I2" s="27" t="s">
        <v>64</v>
      </c>
      <c r="J2" s="27" t="s">
        <v>65</v>
      </c>
      <c r="K2" s="27">
        <v>9</v>
      </c>
      <c r="L2" s="27">
        <v>8</v>
      </c>
      <c r="M2" s="27">
        <v>1</v>
      </c>
      <c r="N2" s="27">
        <v>450000</v>
      </c>
      <c r="O2" s="27">
        <v>400000</v>
      </c>
      <c r="P2" s="27">
        <v>50000</v>
      </c>
      <c r="Q2" s="27">
        <v>15750.000000000002</v>
      </c>
      <c r="R2" s="36">
        <v>0.1111111111111111</v>
      </c>
      <c r="S2">
        <v>10800</v>
      </c>
      <c r="T2">
        <v>0</v>
      </c>
      <c r="U2">
        <v>0</v>
      </c>
      <c r="V2">
        <v>45050</v>
      </c>
      <c r="W2">
        <v>0.10011111111111111</v>
      </c>
      <c r="X2">
        <v>20230317</v>
      </c>
    </row>
    <row r="3" spans="1:24" x14ac:dyDescent="0.3">
      <c r="A3" s="27" t="s">
        <v>58</v>
      </c>
      <c r="B3" s="27" t="s">
        <v>59</v>
      </c>
      <c r="C3" s="27" t="s">
        <v>66</v>
      </c>
      <c r="D3" s="27" t="s">
        <v>61</v>
      </c>
      <c r="E3" s="27" t="s">
        <v>62</v>
      </c>
      <c r="F3" s="27" t="s">
        <v>63</v>
      </c>
      <c r="G3" s="27" t="s">
        <v>27</v>
      </c>
      <c r="H3" s="27">
        <v>50000</v>
      </c>
      <c r="I3" s="27" t="s">
        <v>64</v>
      </c>
      <c r="J3" s="27" t="s">
        <v>65</v>
      </c>
      <c r="K3" s="27">
        <v>1</v>
      </c>
      <c r="L3" s="27">
        <v>1</v>
      </c>
      <c r="M3" s="27">
        <v>0</v>
      </c>
      <c r="N3" s="27">
        <v>50000</v>
      </c>
      <c r="O3" s="27">
        <v>50000</v>
      </c>
      <c r="P3" s="27">
        <v>0</v>
      </c>
      <c r="Q3" s="27">
        <v>1750.0000000000002</v>
      </c>
      <c r="R3" s="36">
        <v>0</v>
      </c>
      <c r="S3">
        <v>1350</v>
      </c>
      <c r="T3">
        <v>0</v>
      </c>
      <c r="U3">
        <v>0</v>
      </c>
      <c r="V3">
        <v>-400.00000000000023</v>
      </c>
      <c r="W3">
        <v>-8.0000000000000054E-3</v>
      </c>
      <c r="X3">
        <v>20230317</v>
      </c>
    </row>
    <row r="4" spans="1:24" x14ac:dyDescent="0.3">
      <c r="A4" s="27" t="s">
        <v>67</v>
      </c>
      <c r="B4" s="27" t="s">
        <v>68</v>
      </c>
      <c r="C4" s="27" t="s">
        <v>69</v>
      </c>
      <c r="D4" s="27" t="s">
        <v>70</v>
      </c>
      <c r="E4" s="27" t="s">
        <v>71</v>
      </c>
      <c r="F4" s="27" t="s">
        <v>63</v>
      </c>
      <c r="G4" s="27" t="s">
        <v>27</v>
      </c>
      <c r="H4" s="27">
        <v>50000</v>
      </c>
      <c r="I4" s="27" t="s">
        <v>64</v>
      </c>
      <c r="J4" s="27" t="s">
        <v>72</v>
      </c>
      <c r="K4" s="27">
        <v>1</v>
      </c>
      <c r="L4" s="27">
        <v>0</v>
      </c>
      <c r="M4" s="27">
        <v>1</v>
      </c>
      <c r="N4" s="27">
        <v>50000</v>
      </c>
      <c r="O4" s="27">
        <v>0</v>
      </c>
      <c r="P4" s="27">
        <v>50000</v>
      </c>
      <c r="Q4" s="27">
        <v>2750</v>
      </c>
      <c r="R4" s="36">
        <v>1</v>
      </c>
      <c r="S4">
        <v>0</v>
      </c>
      <c r="T4">
        <v>0</v>
      </c>
      <c r="U4">
        <v>0</v>
      </c>
      <c r="V4">
        <v>47250</v>
      </c>
      <c r="W4">
        <v>0.94499999999999995</v>
      </c>
      <c r="X4">
        <v>20230423</v>
      </c>
    </row>
    <row r="5" spans="1:24" x14ac:dyDescent="0.3">
      <c r="A5" s="27" t="s">
        <v>73</v>
      </c>
      <c r="B5" s="27" t="s">
        <v>74</v>
      </c>
      <c r="C5" s="27" t="s">
        <v>69</v>
      </c>
      <c r="D5" s="27" t="s">
        <v>70</v>
      </c>
      <c r="E5" s="27" t="s">
        <v>71</v>
      </c>
      <c r="F5" s="27" t="s">
        <v>63</v>
      </c>
      <c r="G5" s="27" t="s">
        <v>27</v>
      </c>
      <c r="H5" s="27">
        <v>50000</v>
      </c>
      <c r="I5" s="27" t="s">
        <v>64</v>
      </c>
      <c r="J5" s="27" t="s">
        <v>72</v>
      </c>
      <c r="K5" s="27">
        <v>1</v>
      </c>
      <c r="L5" s="27">
        <v>1</v>
      </c>
      <c r="M5" s="27">
        <v>0</v>
      </c>
      <c r="N5" s="27">
        <v>50000</v>
      </c>
      <c r="O5" s="27">
        <v>50000</v>
      </c>
      <c r="P5" s="27">
        <v>0</v>
      </c>
      <c r="Q5" s="27">
        <v>2750</v>
      </c>
      <c r="R5" s="36">
        <v>0</v>
      </c>
      <c r="S5">
        <v>1350</v>
      </c>
      <c r="T5">
        <v>0</v>
      </c>
      <c r="U5">
        <v>0</v>
      </c>
      <c r="V5">
        <v>-1400</v>
      </c>
      <c r="W5">
        <v>-2.8000000000000001E-2</v>
      </c>
      <c r="X5">
        <v>20230514</v>
      </c>
    </row>
    <row r="6" spans="1:24" x14ac:dyDescent="0.3">
      <c r="A6" s="27" t="s">
        <v>75</v>
      </c>
      <c r="B6" s="27" t="s">
        <v>76</v>
      </c>
      <c r="C6" s="27" t="s">
        <v>77</v>
      </c>
      <c r="D6" s="27" t="s">
        <v>78</v>
      </c>
      <c r="E6" s="27" t="s">
        <v>79</v>
      </c>
      <c r="F6" s="27" t="s">
        <v>63</v>
      </c>
      <c r="G6" s="27" t="s">
        <v>27</v>
      </c>
      <c r="H6" s="27">
        <v>50000</v>
      </c>
      <c r="I6" s="27" t="s">
        <v>64</v>
      </c>
      <c r="J6" s="27" t="s">
        <v>80</v>
      </c>
      <c r="K6" s="27">
        <v>10</v>
      </c>
      <c r="L6" s="27">
        <v>10</v>
      </c>
      <c r="M6" s="27">
        <v>0</v>
      </c>
      <c r="N6" s="27">
        <v>500000</v>
      </c>
      <c r="O6" s="27">
        <v>500000</v>
      </c>
      <c r="P6" s="27">
        <v>0</v>
      </c>
      <c r="Q6" s="27">
        <v>22500</v>
      </c>
      <c r="R6" s="36">
        <v>0</v>
      </c>
      <c r="S6">
        <v>13500</v>
      </c>
      <c r="T6">
        <v>0</v>
      </c>
      <c r="U6">
        <v>0</v>
      </c>
      <c r="V6">
        <v>-9000</v>
      </c>
      <c r="W6">
        <v>-1.7999999999999999E-2</v>
      </c>
      <c r="X6">
        <v>20230610</v>
      </c>
    </row>
    <row r="7" spans="1:24" x14ac:dyDescent="0.3">
      <c r="A7" s="27" t="s">
        <v>81</v>
      </c>
      <c r="B7" s="27" t="s">
        <v>82</v>
      </c>
      <c r="C7" s="27" t="s">
        <v>83</v>
      </c>
      <c r="D7" s="27" t="s">
        <v>78</v>
      </c>
      <c r="E7" s="27" t="s">
        <v>84</v>
      </c>
      <c r="F7" s="27" t="s">
        <v>63</v>
      </c>
      <c r="G7" s="27" t="s">
        <v>27</v>
      </c>
      <c r="H7" s="27">
        <v>50000</v>
      </c>
      <c r="I7" s="27" t="s">
        <v>64</v>
      </c>
      <c r="J7" s="27" t="s">
        <v>80</v>
      </c>
      <c r="K7" s="27">
        <v>3</v>
      </c>
      <c r="L7" s="27">
        <v>1</v>
      </c>
      <c r="M7" s="27">
        <v>2</v>
      </c>
      <c r="N7" s="27">
        <v>150000</v>
      </c>
      <c r="O7" s="27">
        <v>50000</v>
      </c>
      <c r="P7" s="27">
        <v>100000</v>
      </c>
      <c r="Q7" s="27">
        <v>6750</v>
      </c>
      <c r="R7" s="36">
        <v>0.66666666666666663</v>
      </c>
      <c r="S7">
        <v>1350</v>
      </c>
      <c r="T7">
        <v>0</v>
      </c>
      <c r="U7">
        <v>0</v>
      </c>
      <c r="V7">
        <v>94600</v>
      </c>
      <c r="W7">
        <v>0.63066666666666671</v>
      </c>
      <c r="X7">
        <v>20230808</v>
      </c>
    </row>
    <row r="8" spans="1:24" x14ac:dyDescent="0.3">
      <c r="A8" s="27" t="s">
        <v>85</v>
      </c>
      <c r="B8" s="27" t="s">
        <v>86</v>
      </c>
      <c r="C8" s="27" t="s">
        <v>87</v>
      </c>
      <c r="D8" s="27" t="s">
        <v>78</v>
      </c>
      <c r="E8" s="27" t="s">
        <v>79</v>
      </c>
      <c r="F8" s="27" t="s">
        <v>63</v>
      </c>
      <c r="G8" s="27" t="s">
        <v>27</v>
      </c>
      <c r="H8" s="27">
        <v>50000</v>
      </c>
      <c r="I8" s="27" t="s">
        <v>64</v>
      </c>
      <c r="J8" s="27" t="s">
        <v>88</v>
      </c>
      <c r="K8" s="27">
        <v>6</v>
      </c>
      <c r="L8" s="27">
        <v>6</v>
      </c>
      <c r="M8" s="27">
        <v>0</v>
      </c>
      <c r="N8" s="27">
        <v>300000</v>
      </c>
      <c r="O8" s="27">
        <v>300000</v>
      </c>
      <c r="P8" s="27">
        <v>0</v>
      </c>
      <c r="Q8" s="27">
        <v>14820</v>
      </c>
      <c r="R8" s="36">
        <v>0</v>
      </c>
      <c r="S8">
        <v>8100</v>
      </c>
      <c r="T8">
        <v>0</v>
      </c>
      <c r="U8">
        <v>0</v>
      </c>
      <c r="V8">
        <v>-6720</v>
      </c>
      <c r="W8">
        <v>-2.24E-2</v>
      </c>
      <c r="X8">
        <v>20230904</v>
      </c>
    </row>
    <row r="9" spans="1:24" ht="26.25" x14ac:dyDescent="0.3">
      <c r="A9" s="38" t="s">
        <v>85</v>
      </c>
      <c r="B9" s="38" t="s">
        <v>89</v>
      </c>
      <c r="C9" s="38" t="s">
        <v>90</v>
      </c>
      <c r="D9" s="38" t="s">
        <v>78</v>
      </c>
      <c r="E9" s="38" t="s">
        <v>84</v>
      </c>
      <c r="F9" s="38" t="s">
        <v>63</v>
      </c>
      <c r="G9" s="38" t="s">
        <v>27</v>
      </c>
      <c r="H9" s="38">
        <v>50000</v>
      </c>
      <c r="I9" s="38" t="s">
        <v>64</v>
      </c>
      <c r="J9" s="38" t="s">
        <v>91</v>
      </c>
      <c r="K9" s="58">
        <v>344</v>
      </c>
      <c r="L9" s="38">
        <v>308</v>
      </c>
      <c r="M9" s="38">
        <v>36</v>
      </c>
      <c r="N9" s="38">
        <v>17200000</v>
      </c>
      <c r="O9" s="38">
        <v>15400000</v>
      </c>
      <c r="P9" s="38">
        <v>1800000</v>
      </c>
      <c r="Q9" s="38">
        <v>932240</v>
      </c>
      <c r="R9" s="55">
        <v>0.10465116279069768</v>
      </c>
      <c r="S9">
        <v>415800</v>
      </c>
      <c r="T9">
        <v>0</v>
      </c>
      <c r="U9">
        <v>0</v>
      </c>
      <c r="V9">
        <v>1283560</v>
      </c>
      <c r="W9">
        <v>7.4625581395348833E-2</v>
      </c>
      <c r="X9">
        <v>20230912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3</vt:i4>
      </vt:variant>
    </vt:vector>
  </HeadingPairs>
  <TitlesOfParts>
    <vt:vector size="10" baseType="lpstr">
      <vt:lpstr>확정 할인율</vt:lpstr>
      <vt:lpstr>시뮬레이션</vt:lpstr>
      <vt:lpstr>시뮬레이션 (2)</vt:lpstr>
      <vt:lpstr>과거 입찰데이터</vt:lpstr>
      <vt:lpstr>하이닉스</vt:lpstr>
      <vt:lpstr>생일24</vt:lpstr>
      <vt:lpstr>우리카드</vt:lpstr>
      <vt:lpstr>시뮬레이션!Print_Area</vt:lpstr>
      <vt:lpstr>'시뮬레이션 (2)'!Print_Area</vt:lpstr>
      <vt:lpstr>'확정 할인율'!Print_Area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재성 신</dc:creator>
  <cp:lastModifiedBy>전략사업실</cp:lastModifiedBy>
  <dcterms:created xsi:type="dcterms:W3CDTF">2023-11-28T03:44:53Z</dcterms:created>
  <dcterms:modified xsi:type="dcterms:W3CDTF">2025-11-18T00:24:39Z</dcterms:modified>
</cp:coreProperties>
</file>